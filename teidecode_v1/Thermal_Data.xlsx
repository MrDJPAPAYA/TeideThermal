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4DB26D28-3013-4CD9-BC48-2EE9A94F7B00}" xr6:coauthVersionLast="47" xr6:coauthVersionMax="47" xr10:uidLastSave="{00000000-0000-0000-0000-000000000000}"/>
  <bookViews>
    <workbookView xWindow="-120" yWindow="-120" windowWidth="29040" windowHeight="15840" firstSheet="1" activeTab="3" xr2:uid="{00000000-000D-0000-FFFF-FFFF00000000}"/>
  </bookViews>
  <sheets>
    <sheet name="Nodes properties" sheetId="1" r:id="rId1"/>
    <sheet name="Conductances determination" sheetId="3" r:id="rId2"/>
    <sheet name="Startup Parameters" sheetId="7" r:id="rId3"/>
    <sheet name="Operation" sheetId="5" r:id="rId4"/>
    <sheet name="Modes" sheetId="6" r:id="rId5"/>
    <sheet name="Nodes thermal properties" sheetId="4" r:id="rId6"/>
    <sheet name="Conductances_between_nodes"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KFLR0Am3JTZ+8bb0VcOSu/VdiBw=="/>
    </ext>
  </extLst>
</workbook>
</file>

<file path=xl/calcChain.xml><?xml version="1.0" encoding="utf-8"?>
<calcChain xmlns="http://schemas.openxmlformats.org/spreadsheetml/2006/main">
  <c r="D8" i="5" l="1"/>
  <c r="E8" i="5"/>
  <c r="F8" i="5"/>
  <c r="D9" i="5"/>
  <c r="E9" i="5"/>
  <c r="F9" i="5"/>
  <c r="D10" i="5"/>
  <c r="E10" i="5"/>
  <c r="F10" i="5"/>
  <c r="D11" i="5"/>
  <c r="E11" i="5"/>
  <c r="F11" i="5"/>
  <c r="D12" i="5"/>
  <c r="E12" i="5"/>
  <c r="F12" i="5"/>
  <c r="D13" i="5"/>
  <c r="E13" i="5"/>
  <c r="F13" i="5"/>
  <c r="D14" i="5"/>
  <c r="E14" i="5"/>
  <c r="F14" i="5"/>
  <c r="D15" i="5"/>
  <c r="E15" i="5"/>
  <c r="F15" i="5"/>
  <c r="D16" i="5"/>
  <c r="E16" i="5"/>
  <c r="F16" i="5"/>
  <c r="D17" i="5"/>
  <c r="E17" i="5"/>
  <c r="F17" i="5"/>
  <c r="D18" i="5"/>
  <c r="E18" i="5"/>
  <c r="F18" i="5"/>
  <c r="D19" i="5"/>
  <c r="E19" i="5"/>
  <c r="F19" i="5"/>
  <c r="D20" i="5"/>
  <c r="E20" i="5"/>
  <c r="F20" i="5"/>
  <c r="D21" i="5"/>
  <c r="E21" i="5"/>
  <c r="F21" i="5"/>
  <c r="D22" i="5"/>
  <c r="E22" i="5"/>
  <c r="F22" i="5"/>
  <c r="D23" i="5"/>
  <c r="E23" i="5"/>
  <c r="F23" i="5"/>
  <c r="D24" i="5"/>
  <c r="E24" i="5"/>
  <c r="F24" i="5"/>
  <c r="D25" i="5"/>
  <c r="E25" i="5"/>
  <c r="F25" i="5"/>
  <c r="D26" i="5"/>
  <c r="E26" i="5"/>
  <c r="F26" i="5"/>
  <c r="D27" i="5"/>
  <c r="E27" i="5"/>
  <c r="F27" i="5"/>
  <c r="D28" i="5"/>
  <c r="E28" i="5"/>
  <c r="F28" i="5"/>
  <c r="D29" i="5"/>
  <c r="E29" i="5"/>
  <c r="F29" i="5"/>
  <c r="D30" i="5"/>
  <c r="E30" i="5"/>
  <c r="F30" i="5"/>
  <c r="D31" i="5"/>
  <c r="E31" i="5"/>
  <c r="F31" i="5"/>
  <c r="D32" i="5"/>
  <c r="E32" i="5"/>
  <c r="F32" i="5"/>
  <c r="D33" i="5"/>
  <c r="E33" i="5"/>
  <c r="F33" i="5"/>
  <c r="D34" i="5"/>
  <c r="E34" i="5"/>
  <c r="F34" i="5"/>
  <c r="D35" i="5"/>
  <c r="E35" i="5"/>
  <c r="F35" i="5"/>
  <c r="D36" i="5"/>
  <c r="E36" i="5"/>
  <c r="F36" i="5"/>
  <c r="C3" i="5"/>
  <c r="D3" i="5" s="1"/>
  <c r="E3" i="5" s="1"/>
  <c r="F3" i="5" s="1"/>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8" i="5"/>
  <c r="B127" i="3"/>
  <c r="B126" i="3"/>
  <c r="B115" i="3"/>
  <c r="B107" i="3"/>
  <c r="B108" i="3" s="1"/>
  <c r="B97" i="3"/>
  <c r="B96" i="3"/>
  <c r="B86" i="3"/>
  <c r="I11" i="2" s="1"/>
  <c r="H12" i="2" s="1"/>
  <c r="B84" i="3"/>
  <c r="B73" i="3"/>
  <c r="B72" i="3"/>
  <c r="B61" i="3"/>
  <c r="Z7" i="2" s="1"/>
  <c r="D29" i="2" s="1"/>
  <c r="B60" i="3"/>
  <c r="B49" i="3"/>
  <c r="B48" i="3"/>
  <c r="B37" i="3"/>
  <c r="AB6" i="2" s="1"/>
  <c r="C31" i="2" s="1"/>
  <c r="B36" i="3"/>
  <c r="B25" i="3"/>
  <c r="B17" i="3"/>
  <c r="B18" i="3" s="1"/>
  <c r="I6" i="3"/>
  <c r="H6" i="3"/>
  <c r="AB33" i="2"/>
  <c r="AA33" i="2"/>
  <c r="Z33" i="2"/>
  <c r="Y33" i="2"/>
  <c r="X33" i="2"/>
  <c r="W33" i="2"/>
  <c r="V33" i="2"/>
  <c r="U33" i="2"/>
  <c r="T33" i="2"/>
  <c r="S33" i="2"/>
  <c r="R33" i="2"/>
  <c r="Q33" i="2"/>
  <c r="P33" i="2"/>
  <c r="O33" i="2"/>
  <c r="N33" i="2"/>
  <c r="M33" i="2"/>
  <c r="L33" i="2"/>
  <c r="K33" i="2"/>
  <c r="J33" i="2"/>
  <c r="I33" i="2"/>
  <c r="G33" i="2"/>
  <c r="F33" i="2"/>
  <c r="E33" i="2"/>
  <c r="D33" i="2"/>
  <c r="C33" i="2"/>
  <c r="B33" i="2"/>
  <c r="AB32" i="2"/>
  <c r="AA32" i="2"/>
  <c r="Z32" i="2"/>
  <c r="Y32" i="2"/>
  <c r="X32" i="2"/>
  <c r="V32" i="2"/>
  <c r="U32" i="2"/>
  <c r="T32" i="2"/>
  <c r="S32" i="2"/>
  <c r="R32" i="2"/>
  <c r="Q32" i="2"/>
  <c r="P32" i="2"/>
  <c r="O32" i="2"/>
  <c r="N32" i="2"/>
  <c r="M32" i="2"/>
  <c r="L32" i="2"/>
  <c r="K32" i="2"/>
  <c r="J32" i="2"/>
  <c r="I32" i="2"/>
  <c r="H32" i="2"/>
  <c r="G32" i="2"/>
  <c r="F32" i="2"/>
  <c r="E32" i="2"/>
  <c r="D32" i="2"/>
  <c r="C32" i="2"/>
  <c r="B32" i="2"/>
  <c r="AA31" i="2"/>
  <c r="Z31" i="2"/>
  <c r="Y31" i="2"/>
  <c r="X31" i="2"/>
  <c r="W31" i="2"/>
  <c r="V31" i="2"/>
  <c r="U31" i="2"/>
  <c r="T31" i="2"/>
  <c r="S31" i="2"/>
  <c r="R31" i="2"/>
  <c r="Q31" i="2"/>
  <c r="P31" i="2"/>
  <c r="O31" i="2"/>
  <c r="N31" i="2"/>
  <c r="M31" i="2"/>
  <c r="L31" i="2"/>
  <c r="K31" i="2"/>
  <c r="J31" i="2"/>
  <c r="I31" i="2"/>
  <c r="H31" i="2"/>
  <c r="G31" i="2"/>
  <c r="F31" i="2"/>
  <c r="E31" i="2"/>
  <c r="D31" i="2"/>
  <c r="B31" i="2"/>
  <c r="Z30" i="2"/>
  <c r="Y30" i="2"/>
  <c r="X30" i="2"/>
  <c r="W30" i="2"/>
  <c r="V30" i="2"/>
  <c r="U30" i="2"/>
  <c r="T30" i="2"/>
  <c r="S30" i="2"/>
  <c r="R30" i="2"/>
  <c r="Q30" i="2"/>
  <c r="P30" i="2"/>
  <c r="O30" i="2"/>
  <c r="N30" i="2"/>
  <c r="M30" i="2"/>
  <c r="L30" i="2"/>
  <c r="K30" i="2"/>
  <c r="J30" i="2"/>
  <c r="I30" i="2"/>
  <c r="H30" i="2"/>
  <c r="G30" i="2"/>
  <c r="F30" i="2"/>
  <c r="E30" i="2"/>
  <c r="D30" i="2"/>
  <c r="C30" i="2"/>
  <c r="Y29" i="2"/>
  <c r="X29" i="2"/>
  <c r="W29" i="2"/>
  <c r="V29" i="2"/>
  <c r="U29" i="2"/>
  <c r="T29" i="2"/>
  <c r="S29" i="2"/>
  <c r="R29" i="2"/>
  <c r="Q29" i="2"/>
  <c r="P29" i="2"/>
  <c r="O29" i="2"/>
  <c r="N29" i="2"/>
  <c r="M29" i="2"/>
  <c r="L29" i="2"/>
  <c r="K29" i="2"/>
  <c r="J29" i="2"/>
  <c r="I29" i="2"/>
  <c r="H29" i="2"/>
  <c r="F29" i="2"/>
  <c r="E29" i="2"/>
  <c r="C29" i="2"/>
  <c r="B29" i="2"/>
  <c r="X28" i="2"/>
  <c r="W28" i="2"/>
  <c r="V28" i="2"/>
  <c r="U28" i="2"/>
  <c r="T28" i="2"/>
  <c r="S28" i="2"/>
  <c r="R28" i="2"/>
  <c r="Q28" i="2"/>
  <c r="P28" i="2"/>
  <c r="O28" i="2"/>
  <c r="N28" i="2"/>
  <c r="M28" i="2"/>
  <c r="L28" i="2"/>
  <c r="K28" i="2"/>
  <c r="J28" i="2"/>
  <c r="I28" i="2"/>
  <c r="H28" i="2"/>
  <c r="G28" i="2"/>
  <c r="D28" i="2"/>
  <c r="C28" i="2"/>
  <c r="B28" i="2"/>
  <c r="W27" i="2"/>
  <c r="V27" i="2"/>
  <c r="U27" i="2"/>
  <c r="T27" i="2"/>
  <c r="S27" i="2"/>
  <c r="R27" i="2"/>
  <c r="Q27" i="2"/>
  <c r="P27" i="2"/>
  <c r="O27" i="2"/>
  <c r="N27" i="2"/>
  <c r="M27" i="2"/>
  <c r="L27" i="2"/>
  <c r="K27" i="2"/>
  <c r="J27" i="2"/>
  <c r="I27" i="2"/>
  <c r="H27" i="2"/>
  <c r="G27" i="2"/>
  <c r="F27" i="2"/>
  <c r="E27" i="2"/>
  <c r="D27" i="2"/>
  <c r="C27" i="2"/>
  <c r="B27" i="2"/>
  <c r="AC26" i="2"/>
  <c r="W32" i="2" s="1"/>
  <c r="V26" i="2"/>
  <c r="U26" i="2"/>
  <c r="T26" i="2"/>
  <c r="S26" i="2"/>
  <c r="R26" i="2"/>
  <c r="Q26" i="2"/>
  <c r="P26" i="2"/>
  <c r="O26" i="2"/>
  <c r="N26" i="2"/>
  <c r="M26" i="2"/>
  <c r="L26" i="2"/>
  <c r="K26" i="2"/>
  <c r="J26" i="2"/>
  <c r="I26" i="2"/>
  <c r="H26" i="2"/>
  <c r="G26" i="2"/>
  <c r="E26" i="2"/>
  <c r="D26" i="2"/>
  <c r="C26" i="2"/>
  <c r="T25" i="2"/>
  <c r="S25" i="2"/>
  <c r="R25" i="2"/>
  <c r="Q25" i="2"/>
  <c r="P25" i="2"/>
  <c r="O25" i="2"/>
  <c r="N25" i="2"/>
  <c r="M25" i="2"/>
  <c r="L25" i="2"/>
  <c r="K25" i="2"/>
  <c r="J25" i="2"/>
  <c r="I25" i="2"/>
  <c r="H25" i="2"/>
  <c r="E25" i="2"/>
  <c r="D25" i="2"/>
  <c r="C25" i="2"/>
  <c r="B25" i="2"/>
  <c r="X24" i="2"/>
  <c r="V24" i="2"/>
  <c r="U25" i="2" s="1"/>
  <c r="T24" i="2"/>
  <c r="S24" i="2"/>
  <c r="R24" i="2"/>
  <c r="Q24" i="2"/>
  <c r="P24" i="2"/>
  <c r="O24" i="2"/>
  <c r="M24" i="2"/>
  <c r="L24" i="2"/>
  <c r="K24" i="2"/>
  <c r="J24" i="2"/>
  <c r="I24" i="2"/>
  <c r="H24" i="2"/>
  <c r="G24" i="2"/>
  <c r="F24" i="2"/>
  <c r="E24" i="2"/>
  <c r="D24" i="2"/>
  <c r="C24" i="2"/>
  <c r="B24" i="2"/>
  <c r="S23" i="2"/>
  <c r="R23" i="2"/>
  <c r="Q23" i="2"/>
  <c r="P23" i="2"/>
  <c r="O23" i="2"/>
  <c r="N23" i="2"/>
  <c r="M23" i="2"/>
  <c r="L23" i="2"/>
  <c r="K23" i="2"/>
  <c r="J23" i="2"/>
  <c r="I23" i="2"/>
  <c r="H23" i="2"/>
  <c r="G23" i="2"/>
  <c r="F23" i="2"/>
  <c r="E23" i="2"/>
  <c r="D23" i="2"/>
  <c r="C23" i="2"/>
  <c r="B23" i="2"/>
  <c r="R22" i="2"/>
  <c r="Q22" i="2"/>
  <c r="P22" i="2"/>
  <c r="O22" i="2"/>
  <c r="M22" i="2"/>
  <c r="L22" i="2"/>
  <c r="K22" i="2"/>
  <c r="J22" i="2"/>
  <c r="I22" i="2"/>
  <c r="H22" i="2"/>
  <c r="G22" i="2"/>
  <c r="F22" i="2"/>
  <c r="E22" i="2"/>
  <c r="D22" i="2"/>
  <c r="C22" i="2"/>
  <c r="B22" i="2"/>
  <c r="Q21" i="2"/>
  <c r="P21" i="2"/>
  <c r="O21" i="2"/>
  <c r="M21" i="2"/>
  <c r="L21" i="2"/>
  <c r="K21" i="2"/>
  <c r="J21" i="2"/>
  <c r="I21" i="2"/>
  <c r="H21" i="2"/>
  <c r="G21" i="2"/>
  <c r="F21" i="2"/>
  <c r="E21" i="2"/>
  <c r="D21" i="2"/>
  <c r="C21" i="2"/>
  <c r="B21" i="2"/>
  <c r="P20" i="2"/>
  <c r="O20" i="2"/>
  <c r="M20" i="2"/>
  <c r="L20" i="2"/>
  <c r="K20" i="2"/>
  <c r="J20" i="2"/>
  <c r="I20" i="2"/>
  <c r="H20" i="2"/>
  <c r="G20" i="2"/>
  <c r="F20" i="2"/>
  <c r="E20" i="2"/>
  <c r="D20" i="2"/>
  <c r="C20" i="2"/>
  <c r="B20" i="2"/>
  <c r="O19" i="2"/>
  <c r="N19" i="2"/>
  <c r="M19" i="2"/>
  <c r="L19" i="2"/>
  <c r="K19" i="2"/>
  <c r="J19" i="2"/>
  <c r="I19" i="2"/>
  <c r="H19" i="2"/>
  <c r="G19" i="2"/>
  <c r="F19" i="2"/>
  <c r="E19" i="2"/>
  <c r="D19" i="2"/>
  <c r="C19" i="2"/>
  <c r="B19" i="2"/>
  <c r="N18" i="2"/>
  <c r="M18" i="2"/>
  <c r="L18" i="2"/>
  <c r="K18" i="2"/>
  <c r="J18" i="2"/>
  <c r="I18" i="2"/>
  <c r="H18" i="2"/>
  <c r="G18" i="2"/>
  <c r="F18" i="2"/>
  <c r="E18" i="2"/>
  <c r="D18" i="2"/>
  <c r="C18" i="2"/>
  <c r="B18" i="2"/>
  <c r="U17" i="2"/>
  <c r="N24" i="2" s="1"/>
  <c r="T17" i="2"/>
  <c r="S17" i="2"/>
  <c r="N22" i="2" s="1"/>
  <c r="R17" i="2"/>
  <c r="N21" i="2" s="1"/>
  <c r="Q17" i="2"/>
  <c r="N20" i="2" s="1"/>
  <c r="P17" i="2"/>
  <c r="O17" i="2"/>
  <c r="L17" i="2"/>
  <c r="K17" i="2"/>
  <c r="J17" i="2"/>
  <c r="I17" i="2"/>
  <c r="H17" i="2"/>
  <c r="G17" i="2"/>
  <c r="F17" i="2"/>
  <c r="C17" i="2"/>
  <c r="B17" i="2"/>
  <c r="N16" i="2"/>
  <c r="M17" i="2" s="1"/>
  <c r="L16" i="2"/>
  <c r="K16" i="2"/>
  <c r="J16" i="2"/>
  <c r="I16" i="2"/>
  <c r="H16" i="2"/>
  <c r="G16" i="2"/>
  <c r="F16" i="2"/>
  <c r="E16" i="2"/>
  <c r="D16" i="2"/>
  <c r="C16" i="2"/>
  <c r="B16" i="2"/>
  <c r="K15" i="2"/>
  <c r="J15" i="2"/>
  <c r="I15" i="2"/>
  <c r="G15" i="2"/>
  <c r="F15" i="2"/>
  <c r="E15" i="2"/>
  <c r="D15" i="2"/>
  <c r="C15" i="2"/>
  <c r="B15" i="2"/>
  <c r="J14" i="2"/>
  <c r="I14" i="2"/>
  <c r="G14" i="2"/>
  <c r="F14" i="2"/>
  <c r="E14" i="2"/>
  <c r="D14" i="2"/>
  <c r="C14" i="2"/>
  <c r="B14" i="2"/>
  <c r="I13" i="2"/>
  <c r="G13" i="2"/>
  <c r="F13" i="2"/>
  <c r="E13" i="2"/>
  <c r="D13" i="2"/>
  <c r="C13" i="2"/>
  <c r="B13" i="2"/>
  <c r="G12" i="2"/>
  <c r="F12" i="2"/>
  <c r="E12" i="2"/>
  <c r="D12" i="2"/>
  <c r="C12" i="2"/>
  <c r="B12" i="2"/>
  <c r="AD11" i="2"/>
  <c r="H33" i="2" s="1"/>
  <c r="K11" i="2"/>
  <c r="H14" i="2" s="1"/>
  <c r="J11" i="2"/>
  <c r="H13" i="2" s="1"/>
  <c r="G11" i="2"/>
  <c r="F11" i="2"/>
  <c r="E11" i="2"/>
  <c r="Z10" i="2"/>
  <c r="G29" i="2" s="1"/>
  <c r="W10" i="2"/>
  <c r="F10" i="2"/>
  <c r="E10" i="2"/>
  <c r="D10" i="2"/>
  <c r="Y9" i="2"/>
  <c r="F28" i="2" s="1"/>
  <c r="W9" i="2"/>
  <c r="F26" i="2" s="1"/>
  <c r="E9" i="2"/>
  <c r="D9" i="2"/>
  <c r="Y8" i="2"/>
  <c r="E28" i="2" s="1"/>
  <c r="H8" i="2"/>
  <c r="D8" i="2"/>
  <c r="H7" i="2"/>
  <c r="D11" i="2" s="1"/>
  <c r="W6" i="2"/>
  <c r="H6" i="2"/>
  <c r="C11" i="2" s="1"/>
  <c r="B6" i="2"/>
  <c r="W5" i="2"/>
  <c r="B26" i="2" s="1"/>
  <c r="H5" i="2"/>
  <c r="B11" i="2" s="1"/>
  <c r="N8" i="2" l="1"/>
  <c r="E17" i="2" s="1"/>
  <c r="V10" i="2"/>
  <c r="G25" i="2" s="1"/>
  <c r="V9" i="2"/>
  <c r="F25" i="2" s="1"/>
  <c r="N7" i="2"/>
  <c r="D17" i="2" s="1"/>
  <c r="G6" i="2"/>
  <c r="C10" i="2" s="1"/>
  <c r="G5" i="2"/>
  <c r="B10" i="2" s="1"/>
  <c r="F5" i="2"/>
  <c r="B9" i="2" s="1"/>
  <c r="E5" i="2"/>
  <c r="B8" i="2" s="1"/>
  <c r="D6" i="2"/>
  <c r="C7" i="2" s="1"/>
  <c r="D5" i="2"/>
  <c r="B7" i="2" s="1"/>
  <c r="F6" i="2"/>
  <c r="C9" i="2" s="1"/>
  <c r="E6" i="2"/>
  <c r="C8" i="2" s="1"/>
  <c r="AA5" i="2"/>
  <c r="B30" i="2" s="1"/>
  <c r="L11" i="2"/>
  <c r="H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<sst xmlns="http://schemas.openxmlformats.org/spreadsheetml/2006/main" count="787" uniqueCount="268">
  <si>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</si>
  <si>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</si>
  <si>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</si>
  <si>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</si>
  <si>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</si>
  <si>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</si>
  <si>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</si>
  <si>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</si>
  <si>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</si>
  <si>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</si>
  <si>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</si>
  <si>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</si>
  <si>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</si>
  <si>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</si>
  <si>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</si>
  <si>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</si>
  <si>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</si>
  <si>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</si>
  <si>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</si>
  <si>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</si>
  <si>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</si>
  <si>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</si>
  <si>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</si>
  <si>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</si>
  <si>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</si>
  <si>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</si>
  <si>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</si>
  <si>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</si>
  <si>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</si>
  <si>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</si>
  <si>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</si>
  <si>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</si>
  <si>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</si>
  <si>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</si>
  <si>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</si>
  <si>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</si>
  <si>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</si>
  <si>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</si>
  <si>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</si>
  <si>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</si>
  <si>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</si>
  <si>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</si>
  <si>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</si>
  <si>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</si>
  <si>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</si>
  <si>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</si>
  <si>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</si>
  <si>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</si>
  <si>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</si>
  <si>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</si>
  <si>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</si>
  <si>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</si>
  <si>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</si>
  <si>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</si>
  <si>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</si>
  <si>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</si>
  <si>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</si>
  <si>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</si>
  <si>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</si>
  <si>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</si>
  <si>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</si>
  <si>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</si>
  <si>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</si>
  <si>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</si>
  <si>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</si>
  <si>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</si>
  <si>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</si>
  <si>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</si>
  <si>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</si>
  <si>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</si>
  <si>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</si>
  <si>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</si>
  <si>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</si>
  <si>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</si>
  <si>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</si>
  <si>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</si>
  <si>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</si>
  <si>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</si>
  <si>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</si>
  <si>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</si>
  <si>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</si>
  <si>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</si>
  <si>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</si>
  <si>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</si>
  <si>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</si>
  <si>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</si>
  <si>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</si>
  <si>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</si>
  <si>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</si>
  <si>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</si>
  <si>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</si>
  <si>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</si>
  <si>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</si>
  <si>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</si>
  <si>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</si>
  <si>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</si>
  <si>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</si>
  <si>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</si>
  <si>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</si>
  <si>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</si>
  <si>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</si>
  <si>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</si>
  <si>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</si>
  <si>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</si>
  <si>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</si>
  <si>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</si>
  <si>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</si>
  <si>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</si>
  <si>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</si>
  <si>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</si>
  <si>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</si>
  <si>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</si>
  <si>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</si>
  <si>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</si>
  <si>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</si>
  <si>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</si>
  <si>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</si>
  <si>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</si>
  <si>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</si>
  <si>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</si>
  <si>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</si>
  <si>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</si>
  <si>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</si>
  <si>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</si>
  <si>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</si>
  <si>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</si>
  <si>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</si>
  <si>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</si>
  <si>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</si>
  <si>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</si>
  <si>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</si>
  <si>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</si>
  <si>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</si>
  <si>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</si>
  <si>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</si>
  <si>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</si>
  <si>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</si>
  <si>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</si>
  <si>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</si>
  <si>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</si>
  <si>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</si>
  <si>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</si>
  <si>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</si>
  <si>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</si>
  <si>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</si>
  <si>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</si>
  <si>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</si>
  <si>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</si>
  <si>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</si>
  <si>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</si>
  <si>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</si>
  <si>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</si>
  <si>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</si>
  <si>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</si>
  <si>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</si>
  <si>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</si>
  <si>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</si>
  <si>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</si>
  <si>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</si>
  <si>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</si>
  <si>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</si>
  <si>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</si>
  <si>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</si>
  <si>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</si>
  <si>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</si>
  <si>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</si>
  <si>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</si>
  <si>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</si>
  <si>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</si>
  <si>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</si>
  <si>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</si>
  <si>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</si>
  <si>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</si>
  <si>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</si>
  <si>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</si>
  <si>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</si>
  <si>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</si>
  <si>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</si>
  <si>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</si>
  <si>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</si>
  <si>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</si>
  <si>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</si>
  <si>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</si>
  <si>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</si>
  <si>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</si>
  <si>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</si>
  <si>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</si>
  <si>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</si>
  <si>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</si>
  <si>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</si>
  <si>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</si>
  <si>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</si>
  <si>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</si>
  <si>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</si>
  <si>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</si>
  <si>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</si>
  <si>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</si>
  <si>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</si>
  <si>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</si>
  <si>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</si>
  <si>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</si>
  <si>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</si>
  <si>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</si>
  <si>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</si>
  <si>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</si>
  <si>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</si>
  <si>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</si>
  <si>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</si>
  <si>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</si>
  <si>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</si>
  <si>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</si>
  <si>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</si>
  <si>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</si>
  <si>
    <t>L</t>
  </si>
  <si>
    <t>Frame 1, +X</t>
  </si>
  <si>
    <t>Frame 2, -X</t>
  </si>
  <si>
    <t>Beam -Y +Z</t>
  </si>
  <si>
    <t>Beam +Y +Z</t>
  </si>
  <si>
    <t>Beam +Y -Z</t>
  </si>
  <si>
    <t>Beam -Y -Z</t>
  </si>
  <si>
    <t xml:space="preserve">panel +Z, payload plate </t>
  </si>
  <si>
    <t xml:space="preserve">LED 1 </t>
  </si>
  <si>
    <t>LED 2</t>
  </si>
  <si>
    <t>LED 3</t>
  </si>
  <si>
    <t xml:space="preserve">LED 4 </t>
  </si>
  <si>
    <t>Node 12, BMS</t>
  </si>
  <si>
    <t>Node 13, Batteries Isolation</t>
  </si>
  <si>
    <t>Node 14, LiFePo4 1</t>
  </si>
  <si>
    <t>Node 15, LiFePo4 3</t>
  </si>
  <si>
    <t>Node 16, LiFePo4 2</t>
  </si>
  <si>
    <t>Node 17, LiFePo4 4</t>
  </si>
  <si>
    <t>Node 18, Cell Litio 1</t>
  </si>
  <si>
    <t>Node 19, Cell Litio 2</t>
  </si>
  <si>
    <t>Node 20, LoMo</t>
  </si>
  <si>
    <t>Node 21, Transceiver(Tx-Rx)</t>
  </si>
  <si>
    <t>Node 22, Antena module</t>
  </si>
  <si>
    <t>Node 23, OBC</t>
  </si>
  <si>
    <t>Node 24, Solar Panel (Y)</t>
  </si>
  <si>
    <t>Node 25, Solar Panel (-Y)</t>
  </si>
  <si>
    <t>Node 26, Solar Panel (X)</t>
  </si>
  <si>
    <t>Node 27, Solar Panel (-X)RBF</t>
  </si>
  <si>
    <t>Node 28, Solar Panel (-Z(antenna))</t>
  </si>
  <si>
    <t>Node 29, EPS de alta</t>
  </si>
  <si>
    <t>Emisivity</t>
  </si>
  <si>
    <t>Absorptivity</t>
  </si>
  <si>
    <t>Mass (kg)</t>
  </si>
  <si>
    <t>Specific Heat (J/(kg*K))</t>
  </si>
  <si>
    <t>Radiative area (m2)</t>
  </si>
  <si>
    <t>Thermal conductivity (W/(mK))</t>
  </si>
  <si>
    <t>Norm x</t>
  </si>
  <si>
    <t>Norm y</t>
  </si>
  <si>
    <t>Norm z</t>
  </si>
  <si>
    <t>Name</t>
  </si>
  <si>
    <t>Time</t>
  </si>
  <si>
    <t>Hours</t>
  </si>
  <si>
    <t>Minutes</t>
  </si>
  <si>
    <t>Seconds</t>
  </si>
  <si>
    <t>Mode</t>
  </si>
  <si>
    <t>High Power</t>
  </si>
  <si>
    <t>Low Power</t>
  </si>
  <si>
    <t>Off</t>
  </si>
  <si>
    <t>Days</t>
  </si>
  <si>
    <t>Radiates? 1=Yes, 0=No</t>
  </si>
  <si>
    <t>dt (s)</t>
  </si>
  <si>
    <t>Starting temperature (K)</t>
  </si>
  <si>
    <t>Vacuum temperature (K)</t>
  </si>
  <si>
    <t>Solar radiation and albedo (1=Yes, 0=No)</t>
  </si>
  <si>
    <t>Radiation to enviroment (1=Yes, 0=No)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</si>
</sst>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1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s>
  <fills count="22">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DD7E6B"/>
        <bgColor rgb="FFDD7E6B"/>
      </patternFill>
    </fill>
    <fill>
      <patternFill patternType="solid">
        <fgColor rgb="FF999999"/>
        <bgColor rgb="FF999999"/>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s>
  <borders count="6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146">
    <xf numFmtId="0" fontId="0" fillId="0" borderId="0" xfId="0"/>
    <xf numFmtId="0" fontId="4" fillId="0" borderId="0" xfId="0" applyFont="1"/>
    <xf numFmtId="0" fontId="4" fillId="2" borderId="0" xfId="0" applyFont="1" applyFill="1"/>
    <xf numFmtId="0" fontId="5" fillId="2" borderId="0" xfId="0" applyFont="1" applyFill="1"/>
    <xf numFmtId="0" fontId="4" fillId="2" borderId="1" xfId="0" applyFont="1" applyFill="1" applyBorder="1"/>
    <xf numFmtId="49" fontId="4" fillId="0" borderId="0" xfId="0" applyNumberFormat="1" applyFont="1"/>
    <xf numFmtId="0" fontId="6" fillId="3" borderId="2" xfId="0" applyFont="1" applyFill="1" applyBorder="1"/>
    <xf numFmtId="0" fontId="5" fillId="0" borderId="0" xfId="0" applyFont="1"/>
    <xf numFmtId="0" fontId="4" fillId="4" borderId="1" xfId="0" applyFont="1" applyFill="1" applyBorder="1"/>
    <xf numFmtId="0" fontId="4" fillId="5" borderId="1" xfId="0" applyFont="1" applyFill="1" applyBorder="1"/>
    <xf numFmtId="0" fontId="4" fillId="6" borderId="1" xfId="0" applyFont="1" applyFill="1" applyBorder="1"/>
    <xf numFmtId="0" fontId="4" fillId="7" borderId="1" xfId="0" applyFont="1" applyFill="1" applyBorder="1"/>
    <xf numFmtId="0" fontId="4" fillId="8" borderId="0" xfId="0" applyFont="1" applyFill="1"/>
    <xf numFmtId="0" fontId="7" fillId="9" borderId="0" xfId="0" applyFont="1" applyFill="1" applyAlignment="1">
      <alignment horizontal="right"/>
    </xf>
    <xf numFmtId="0" fontId="8" fillId="9" borderId="0" xfId="0" applyFont="1" applyFill="1" applyAlignment="1">
      <alignment horizontal="right"/>
    </xf>
    <xf numFmtId="164" fontId="6" fillId="0" borderId="0" xfId="0" applyNumberFormat="1" applyFont="1"/>
    <xf numFmtId="0" fontId="6" fillId="0" borderId="0" xfId="0" applyFont="1"/>
    <xf numFmtId="0" fontId="4" fillId="0" borderId="0" xfId="0" quotePrefix="1" applyFont="1"/>
    <xf numFmtId="0" fontId="6" fillId="3" borderId="0" xfId="0" applyFont="1" applyFill="1"/>
    <xf numFmtId="0" fontId="4" fillId="0" borderId="0" xfId="0" applyFont="1" applyAlignment="1">
      <alignment horizontal="center"/>
    </xf>
    <xf numFmtId="165" fontId="4" fillId="0" borderId="0" xfId="0" applyNumberFormat="1" applyFont="1"/>
    <xf numFmtId="165" fontId="5" fillId="0" borderId="0" xfId="0" applyNumberFormat="1" applyFont="1"/>
    <xf numFmtId="165" fontId="9"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165" fontId="4" fillId="10" borderId="1" xfId="0" applyNumberFormat="1" applyFont="1" applyFill="1" applyBorder="1" applyAlignment="1">
      <alignment horizontal="center"/>
    </xf>
    <xf numFmtId="165" fontId="4" fillId="0" borderId="1" xfId="0" applyNumberFormat="1" applyFont="1" applyBorder="1" applyAlignment="1">
      <alignment horizontal="center"/>
    </xf>
    <xf numFmtId="165" fontId="4" fillId="11" borderId="1" xfId="0" applyNumberFormat="1" applyFont="1" applyFill="1" applyBorder="1" applyAlignment="1">
      <alignment horizontal="center"/>
    </xf>
    <xf numFmtId="165" fontId="4" fillId="12" borderId="1" xfId="0" applyNumberFormat="1" applyFont="1" applyFill="1" applyBorder="1" applyAlignment="1">
      <alignment horizontal="center"/>
    </xf>
    <xf numFmtId="0" fontId="10" fillId="0" borderId="3" xfId="0" applyFont="1" applyBorder="1"/>
    <xf numFmtId="0" fontId="5" fillId="0" borderId="4" xfId="0" applyFont="1" applyBorder="1"/>
    <xf numFmtId="0" fontId="5" fillId="0" borderId="5" xfId="0" applyFont="1" applyBorder="1"/>
    <xf numFmtId="0" fontId="5" fillId="13" borderId="0" xfId="0" applyFont="1" applyFill="1"/>
    <xf numFmtId="0" fontId="10" fillId="0" borderId="6" xfId="0" applyFont="1" applyBorder="1"/>
    <xf numFmtId="0" fontId="5" fillId="9" borderId="0" xfId="0" applyFont="1" applyFill="1"/>
    <xf numFmtId="0" fontId="10" fillId="0" borderId="6" xfId="0" applyFont="1" applyBorder="1" applyAlignment="1">
      <alignment horizontal="center"/>
    </xf>
    <xf numFmtId="0" fontId="10" fillId="0" borderId="1" xfId="0" applyFont="1" applyBorder="1" applyAlignment="1">
      <alignment horizontal="center"/>
    </xf>
    <xf numFmtId="0" fontId="10" fillId="0" borderId="9" xfId="0" applyFont="1" applyBorder="1" applyAlignment="1">
      <alignment horizontal="center"/>
    </xf>
    <xf numFmtId="0" fontId="5" fillId="14" borderId="0" xfId="0" applyFont="1" applyFill="1"/>
    <xf numFmtId="0" fontId="5" fillId="15" borderId="6" xfId="0" applyFont="1" applyFill="1" applyBorder="1" applyAlignment="1">
      <alignment horizontal="center"/>
    </xf>
    <xf numFmtId="2" fontId="5" fillId="15" borderId="1" xfId="0" applyNumberFormat="1" applyFont="1" applyFill="1" applyBorder="1" applyAlignment="1">
      <alignment horizontal="center"/>
    </xf>
    <xf numFmtId="0" fontId="5" fillId="15" borderId="9" xfId="0" applyFont="1" applyFill="1" applyBorder="1" applyAlignment="1">
      <alignment horizontal="center"/>
    </xf>
    <xf numFmtId="0" fontId="5" fillId="5" borderId="0" xfId="0" applyFont="1" applyFill="1"/>
    <xf numFmtId="0" fontId="5" fillId="0" borderId="6" xfId="0" applyFont="1" applyBorder="1" applyAlignment="1">
      <alignment horizontal="center"/>
    </xf>
    <xf numFmtId="0" fontId="5" fillId="0" borderId="1" xfId="0" applyFont="1" applyBorder="1" applyAlignment="1">
      <alignment horizontal="center"/>
    </xf>
    <xf numFmtId="0" fontId="5" fillId="0" borderId="9" xfId="0" applyFont="1" applyBorder="1" applyAlignment="1">
      <alignment horizontal="center"/>
    </xf>
    <xf numFmtId="0" fontId="10" fillId="16" borderId="10" xfId="0" applyFont="1" applyFill="1" applyBorder="1"/>
    <xf numFmtId="0" fontId="5" fillId="16" borderId="11" xfId="0" applyFont="1" applyFill="1" applyBorder="1" applyAlignment="1">
      <alignment horizontal="right"/>
    </xf>
    <xf numFmtId="0" fontId="5" fillId="0" borderId="12" xfId="0" applyFont="1" applyBorder="1" applyAlignment="1">
      <alignment horizontal="center"/>
    </xf>
    <xf numFmtId="0" fontId="5" fillId="0" borderId="13" xfId="0" applyFont="1" applyBorder="1" applyAlignment="1">
      <alignment horizontal="center"/>
    </xf>
    <xf numFmtId="0" fontId="5" fillId="0" borderId="14" xfId="0" applyFont="1" applyBorder="1" applyAlignment="1">
      <alignment horizontal="center"/>
    </xf>
    <xf numFmtId="0" fontId="5" fillId="9" borderId="15" xfId="0" applyFont="1" applyFill="1" applyBorder="1"/>
    <xf numFmtId="0" fontId="5" fillId="9" borderId="16" xfId="0" applyFont="1" applyFill="1" applyBorder="1" applyAlignment="1">
      <alignment horizontal="right"/>
    </xf>
    <xf numFmtId="0" fontId="5" fillId="0" borderId="6" xfId="0" applyFont="1" applyBorder="1"/>
    <xf numFmtId="0" fontId="5" fillId="0" borderId="9" xfId="0" applyFont="1" applyBorder="1" applyAlignment="1">
      <alignment horizontal="right"/>
    </xf>
    <xf numFmtId="166" fontId="5" fillId="0" borderId="9" xfId="0" applyNumberFormat="1" applyFont="1" applyBorder="1" applyAlignment="1">
      <alignment horizontal="right"/>
    </xf>
    <xf numFmtId="0" fontId="10" fillId="0" borderId="9" xfId="0" applyFont="1" applyBorder="1" applyAlignment="1">
      <alignment horizontal="right"/>
    </xf>
    <xf numFmtId="0" fontId="5" fillId="0" borderId="17" xfId="0" applyFont="1" applyBorder="1"/>
    <xf numFmtId="0" fontId="5" fillId="0" borderId="18" xfId="0" applyFont="1" applyBorder="1" applyAlignment="1">
      <alignment horizontal="right"/>
    </xf>
    <xf numFmtId="0" fontId="5" fillId="9" borderId="12" xfId="0" applyFont="1" applyFill="1" applyBorder="1"/>
    <xf numFmtId="167" fontId="5" fillId="9" borderId="14" xfId="0" applyNumberFormat="1" applyFont="1" applyFill="1" applyBorder="1" applyAlignment="1">
      <alignment horizontal="right"/>
    </xf>
    <xf numFmtId="0" fontId="5" fillId="14" borderId="15" xfId="0" applyFont="1" applyFill="1" applyBorder="1"/>
    <xf numFmtId="0" fontId="5" fillId="14" borderId="16" xfId="0" applyFont="1" applyFill="1" applyBorder="1" applyAlignment="1">
      <alignment horizontal="right"/>
    </xf>
    <xf numFmtId="0" fontId="5" fillId="14" borderId="12" xfId="0" applyFont="1" applyFill="1" applyBorder="1"/>
    <xf numFmtId="2" fontId="5" fillId="14" borderId="14" xfId="0" applyNumberFormat="1" applyFont="1" applyFill="1" applyBorder="1" applyAlignment="1">
      <alignment horizontal="right"/>
    </xf>
    <xf numFmtId="167" fontId="5" fillId="0" borderId="18" xfId="0" applyNumberFormat="1" applyFont="1" applyBorder="1" applyAlignment="1">
      <alignment horizontal="right"/>
    </xf>
    <xf numFmtId="0" fontId="10" fillId="16" borderId="19" xfId="0" applyFont="1" applyFill="1" applyBorder="1"/>
    <xf numFmtId="0" fontId="5" fillId="16" borderId="20" xfId="0" applyFont="1" applyFill="1" applyBorder="1" applyAlignment="1">
      <alignment horizontal="right"/>
    </xf>
    <xf numFmtId="0" fontId="5" fillId="13" borderId="21" xfId="0" applyFont="1" applyFill="1" applyBorder="1"/>
    <xf numFmtId="0" fontId="5" fillId="13" borderId="22" xfId="0" applyFont="1" applyFill="1" applyBorder="1" applyAlignment="1">
      <alignment horizontal="right"/>
    </xf>
    <xf numFmtId="0" fontId="5" fillId="5" borderId="21" xfId="0" applyFont="1" applyFill="1" applyBorder="1"/>
    <xf numFmtId="0" fontId="5" fillId="5" borderId="22" xfId="0" applyFont="1" applyFill="1" applyBorder="1" applyAlignment="1">
      <alignment horizontal="right"/>
    </xf>
    <xf numFmtId="0" fontId="4" fillId="13" borderId="0" xfId="0" applyFont="1" applyFill="1"/>
    <xf numFmtId="0" fontId="4" fillId="9" borderId="0" xfId="0" applyFont="1" applyFill="1"/>
    <xf numFmtId="0" fontId="4" fillId="9" borderId="0" xfId="0" quotePrefix="1" applyFont="1" applyFill="1"/>
    <xf numFmtId="0" fontId="4" fillId="13" borderId="0" xfId="0" quotePrefix="1" applyFont="1" applyFill="1"/>
    <xf numFmtId="49" fontId="4" fillId="13" borderId="0" xfId="0" applyNumberFormat="1" applyFont="1" applyFill="1"/>
    <xf numFmtId="49" fontId="4" fillId="9" borderId="0" xfId="0" applyNumberFormat="1" applyFont="1" applyFill="1"/>
    <xf numFmtId="164" fontId="4" fillId="13" borderId="0" xfId="0" applyNumberFormat="1" applyFont="1" applyFill="1"/>
    <xf numFmtId="0" fontId="4" fillId="3" borderId="2" xfId="0" applyFont="1" applyFill="1" applyBorder="1"/>
    <xf numFmtId="0" fontId="4" fillId="3" borderId="0" xfId="0" applyFont="1" applyFill="1"/>
    <xf numFmtId="0" fontId="3" fillId="0" borderId="0" xfId="0" applyFont="1"/>
    <xf numFmtId="0" fontId="3" fillId="0" borderId="0" xfId="0" applyFont="1" applyAlignment="1">
      <alignment horizontal="center"/>
    </xf>
    <xf numFmtId="0" fontId="0" fillId="0" borderId="0" xfId="0" applyAlignment="1">
      <alignment horizontal="right"/>
    </xf>
    <xf numFmtId="0" fontId="3" fillId="0" borderId="23" xfId="0" applyFont="1" applyBorder="1" applyAlignment="1">
      <alignment horizontal="center"/>
    </xf>
    <xf numFmtId="0" fontId="0" fillId="0" borderId="23" xfId="0" applyBorder="1" applyAlignment="1">
      <alignment horizontal="center"/>
    </xf>
    <xf numFmtId="0" fontId="0" fillId="0" borderId="29" xfId="0" applyBorder="1" applyAlignment="1">
      <alignment horizontal="center"/>
    </xf>
    <xf numFmtId="0" fontId="0" fillId="0" borderId="33" xfId="0" applyBorder="1" applyAlignment="1">
      <alignment horizontal="center"/>
    </xf>
    <xf numFmtId="0" fontId="3" fillId="17" borderId="35" xfId="0" applyFont="1" applyFill="1" applyBorder="1" applyAlignment="1">
      <alignment horizontal="center" vertical="center"/>
    </xf>
    <xf numFmtId="0" fontId="3" fillId="17" borderId="36" xfId="0" applyFont="1" applyFill="1" applyBorder="1" applyAlignment="1">
      <alignment horizontal="center" vertical="center"/>
    </xf>
    <xf numFmtId="0" fontId="3" fillId="17" borderId="32" xfId="0" applyFont="1" applyFill="1" applyBorder="1" applyAlignment="1">
      <alignment horizontal="center"/>
    </xf>
    <xf numFmtId="0" fontId="0" fillId="0" borderId="39" xfId="0" applyBorder="1" applyAlignment="1">
      <alignment horizontal="center"/>
    </xf>
    <xf numFmtId="0" fontId="0" fillId="0" borderId="2" xfId="0" applyBorder="1"/>
    <xf numFmtId="0" fontId="0" fillId="18" borderId="36" xfId="0" applyFill="1" applyBorder="1" applyAlignment="1">
      <alignment horizontal="center"/>
    </xf>
    <xf numFmtId="0" fontId="0" fillId="18" borderId="33" xfId="0" applyFill="1" applyBorder="1" applyAlignment="1">
      <alignment horizontal="center"/>
    </xf>
    <xf numFmtId="0" fontId="0" fillId="18" borderId="39" xfId="0" applyFill="1" applyBorder="1" applyAlignment="1">
      <alignment horizontal="center"/>
    </xf>
    <xf numFmtId="0" fontId="0" fillId="18" borderId="37" xfId="0" applyFill="1" applyBorder="1" applyAlignment="1">
      <alignment horizontal="center"/>
    </xf>
    <xf numFmtId="0" fontId="0" fillId="0" borderId="23" xfId="0" applyBorder="1"/>
    <xf numFmtId="0" fontId="0" fillId="0" borderId="29" xfId="0" applyBorder="1"/>
    <xf numFmtId="0" fontId="0" fillId="0" borderId="44" xfId="0" applyBorder="1"/>
    <xf numFmtId="0" fontId="0" fillId="0" borderId="45" xfId="0" applyBorder="1"/>
    <xf numFmtId="0" fontId="0" fillId="0" borderId="46" xfId="0" applyBorder="1"/>
    <xf numFmtId="0" fontId="0" fillId="0" borderId="47" xfId="0" applyBorder="1"/>
    <xf numFmtId="0" fontId="0" fillId="0" borderId="49" xfId="0" applyBorder="1"/>
    <xf numFmtId="0" fontId="0" fillId="0" borderId="33" xfId="0" applyBorder="1"/>
    <xf numFmtId="0" fontId="0" fillId="0" borderId="34" xfId="0" applyBorder="1"/>
    <xf numFmtId="0" fontId="3" fillId="19" borderId="24" xfId="0" applyFont="1" applyFill="1" applyBorder="1" applyAlignment="1">
      <alignment vertical="center" wrapText="1"/>
    </xf>
    <xf numFmtId="0" fontId="3" fillId="19" borderId="31" xfId="0" applyFont="1" applyFill="1" applyBorder="1" applyAlignment="1">
      <alignment vertical="center" wrapText="1"/>
    </xf>
    <xf numFmtId="0" fontId="3" fillId="19" borderId="30" xfId="0" applyFont="1" applyFill="1" applyBorder="1" applyAlignment="1">
      <alignment vertical="center" wrapText="1"/>
    </xf>
    <xf numFmtId="0" fontId="0" fillId="19" borderId="48" xfId="0" applyFill="1" applyBorder="1" applyAlignment="1">
      <alignment vertical="center" wrapText="1"/>
    </xf>
    <xf numFmtId="0" fontId="0" fillId="19" borderId="50" xfId="0" applyFill="1" applyBorder="1"/>
    <xf numFmtId="0" fontId="0" fillId="19" borderId="36" xfId="0" applyFill="1" applyBorder="1"/>
    <xf numFmtId="0" fontId="0" fillId="19" borderId="37" xfId="0" applyFill="1" applyBorder="1"/>
    <xf numFmtId="0" fontId="3" fillId="17" borderId="51" xfId="0" applyFont="1" applyFill="1" applyBorder="1" applyAlignment="1">
      <alignment horizontal="center" vertical="center"/>
    </xf>
    <xf numFmtId="0" fontId="0" fillId="0" borderId="52" xfId="0" applyBorder="1" applyAlignment="1">
      <alignment horizontal="center"/>
    </xf>
    <xf numFmtId="0" fontId="0" fillId="0" borderId="53" xfId="0" applyBorder="1" applyAlignment="1">
      <alignment horizontal="center"/>
    </xf>
    <xf numFmtId="0" fontId="3" fillId="0" borderId="53" xfId="0" applyFont="1" applyBorder="1" applyAlignment="1">
      <alignment horizontal="center"/>
    </xf>
    <xf numFmtId="0" fontId="0" fillId="0" borderId="54" xfId="0" applyBorder="1" applyAlignment="1">
      <alignment horizontal="center"/>
    </xf>
    <xf numFmtId="0" fontId="2" fillId="0" borderId="2" xfId="0" applyFont="1" applyBorder="1"/>
    <xf numFmtId="0" fontId="3" fillId="0" borderId="42" xfId="0" applyFont="1" applyBorder="1" applyAlignment="1">
      <alignment horizontal="center"/>
    </xf>
    <xf numFmtId="0" fontId="3" fillId="0" borderId="41" xfId="0" applyFont="1" applyBorder="1" applyAlignment="1">
      <alignment horizontal="center"/>
    </xf>
    <xf numFmtId="0" fontId="0" fillId="0" borderId="41" xfId="0" applyBorder="1" applyAlignment="1">
      <alignment horizontal="center"/>
    </xf>
    <xf numFmtId="0" fontId="0" fillId="0" borderId="5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55" xfId="0" applyBorder="1" applyAlignment="1">
      <alignment horizontal="center"/>
    </xf>
    <xf numFmtId="0" fontId="0" fillId="0" borderId="27" xfId="0" applyBorder="1" applyAlignment="1">
      <alignment horizontal="center"/>
    </xf>
    <xf numFmtId="0" fontId="0" fillId="0" borderId="44" xfId="0" applyBorder="1" applyAlignment="1">
      <alignment horizontal="center"/>
    </xf>
    <xf numFmtId="0" fontId="0" fillId="0" borderId="28" xfId="0" applyBorder="1" applyAlignment="1">
      <alignment horizontal="center"/>
    </xf>
    <xf numFmtId="0" fontId="0" fillId="0" borderId="45" xfId="0" applyBorder="1" applyAlignment="1">
      <alignment horizontal="center"/>
    </xf>
    <xf numFmtId="0" fontId="0" fillId="0" borderId="58" xfId="0" applyBorder="1" applyAlignment="1">
      <alignment horizontal="center"/>
    </xf>
    <xf numFmtId="0" fontId="0" fillId="0" borderId="59" xfId="0" applyBorder="1" applyAlignment="1">
      <alignment horizontal="center"/>
    </xf>
    <xf numFmtId="0" fontId="2" fillId="19" borderId="30" xfId="0" applyFont="1" applyFill="1" applyBorder="1" applyAlignment="1">
      <alignment vertical="center" wrapText="1"/>
    </xf>
    <xf numFmtId="0" fontId="3" fillId="20" borderId="24" xfId="0" applyFont="1" applyFill="1" applyBorder="1" applyAlignment="1">
      <alignment horizontal="center" vertical="center"/>
    </xf>
    <xf numFmtId="0" fontId="3" fillId="20" borderId="24" xfId="0" applyFont="1" applyFill="1" applyBorder="1"/>
    <xf numFmtId="0" fontId="0" fillId="18" borderId="43" xfId="0" applyFill="1" applyBorder="1"/>
    <xf numFmtId="0" fontId="0" fillId="18" borderId="40" xfId="0" applyFill="1" applyBorder="1"/>
    <xf numFmtId="0" fontId="0" fillId="18" borderId="57" xfId="0" applyFill="1" applyBorder="1"/>
    <xf numFmtId="0" fontId="2" fillId="21" borderId="25" xfId="0" applyFont="1" applyFill="1" applyBorder="1" applyAlignment="1">
      <alignment horizontal="center" vertical="center" wrapText="1"/>
    </xf>
    <xf numFmtId="0" fontId="2" fillId="21" borderId="26" xfId="0" applyFont="1" applyFill="1" applyBorder="1" applyAlignment="1">
      <alignment horizontal="center" vertical="center" wrapText="1"/>
    </xf>
    <xf numFmtId="0" fontId="2" fillId="21" borderId="55" xfId="0" applyFont="1" applyFill="1" applyBorder="1" applyAlignment="1">
      <alignment horizontal="center" vertical="center" wrapText="1"/>
    </xf>
    <xf numFmtId="0" fontId="10" fillId="0" borderId="7" xfId="0" applyFont="1" applyBorder="1" applyAlignment="1">
      <alignment horizontal="center"/>
    </xf>
    <xf numFmtId="0" fontId="11" fillId="0" borderId="8" xfId="0" applyFont="1" applyBorder="1"/>
    <xf numFmtId="0" fontId="1" fillId="0" borderId="31" xfId="0" applyFont="1" applyBorder="1" applyAlignment="1">
      <alignment horizontal="center"/>
    </xf>
    <xf numFmtId="0" fontId="1" fillId="0" borderId="33" xfId="0" applyFont="1" applyBorder="1" applyAlignment="1">
      <alignment horizontal="center"/>
    </xf>
    <xf numFmtId="0" fontId="1" fillId="0" borderId="30" xfId="0" applyFont="1" applyBorder="1" applyAlignment="1">
      <alignment horizontal="center"/>
    </xf>
    <xf numFmtId="0" fontId="1" fillId="0" borderId="38" xfId="0" applyFont="1" applyBorder="1" applyAlignment="1">
      <alignment horizontal="center"/>
    </xf>
  </cellXfs>
  <cellStyles count="1">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34</xdr:row>
      <xdr:rowOff>38100</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161925</xdr:colOff>
      <xdr:row>32</xdr:row>
      <xdr:rowOff>180975</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353300" y="6448425"/>
          <a:ext cx="6753225" cy="5038725"/>
        </a:xfrm>
        <a:prstGeom prst="rect">
          <a:avLst/>
        </a:prstGeom>
        <a:noFill/>
      </xdr:spPr>
    </xdr:pic>
    <xdr:clientData fLocksWithSheet="0"/>
  </xdr:oneCellAnchor>
  <xdr:oneCellAnchor>
    <xdr:from>
      <xdr:col>26</xdr:col>
      <xdr:colOff>133350</xdr:colOff>
      <xdr:row>35</xdr:row>
      <xdr:rowOff>76200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382750" y="6943725"/>
          <a:ext cx="6981825" cy="494347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AD33">
  <tableColumns count="30">
    <tableColumn id="1" xr3:uid="{00000000-0010-0000-0100-000001000000}" name="conductances [W/K]"/>
    <tableColumn id="2" xr3:uid="{00000000-0010-0000-0100-000002000000}" name="node 1"/>
    <tableColumn id="3" xr3:uid="{00000000-0010-0000-0100-000003000000}" name="node 2"/>
    <tableColumn id="4" xr3:uid="{00000000-0010-0000-0100-000004000000}" name="node 3"/>
    <tableColumn id="5" xr3:uid="{00000000-0010-0000-0100-000005000000}" name="node 4"/>
    <tableColumn id="6" xr3:uid="{00000000-0010-0000-0100-000006000000}" name="node 5"/>
    <tableColumn id="7" xr3:uid="{00000000-0010-0000-0100-000007000000}" name="node 6"/>
    <tableColumn id="8" xr3:uid="{00000000-0010-0000-0100-000008000000}" name="node 7"/>
    <tableColumn id="9" xr3:uid="{00000000-0010-0000-0100-000009000000}" name="node 8"/>
    <tableColumn id="10" xr3:uid="{00000000-0010-0000-0100-00000A000000}" name="node 9"/>
    <tableColumn id="11" xr3:uid="{00000000-0010-0000-0100-00000B000000}" name="node 10"/>
    <tableColumn id="12" xr3:uid="{00000000-0010-0000-0100-00000C000000}" name="node 11"/>
    <tableColumn id="13" xr3:uid="{00000000-0010-0000-0100-00000D000000}" name="node 12"/>
    <tableColumn id="14" xr3:uid="{00000000-0010-0000-0100-00000E000000}" name="node 13"/>
    <tableColumn id="15" xr3:uid="{00000000-0010-0000-0100-00000F000000}" name="node 14"/>
    <tableColumn id="16" xr3:uid="{00000000-0010-0000-0100-000010000000}" name="node 15"/>
    <tableColumn id="17" xr3:uid="{00000000-0010-0000-0100-000011000000}" name="node 16"/>
    <tableColumn id="18" xr3:uid="{00000000-0010-0000-0100-000012000000}" name="node 17"/>
    <tableColumn id="19" xr3:uid="{00000000-0010-0000-0100-000013000000}" name="node 18"/>
    <tableColumn id="20" xr3:uid="{00000000-0010-0000-0100-000014000000}" name="node 19"/>
    <tableColumn id="21" xr3:uid="{00000000-0010-0000-0100-000015000000}" name="node 20"/>
    <tableColumn id="22" xr3:uid="{00000000-0010-0000-0100-000016000000}" name="node 21"/>
    <tableColumn id="23" xr3:uid="{00000000-0010-0000-0100-000017000000}" name="node 22"/>
    <tableColumn id="24" xr3:uid="{00000000-0010-0000-0100-000018000000}" name="node 23"/>
    <tableColumn id="25" xr3:uid="{00000000-0010-0000-0100-000019000000}" name="node 24"/>
    <tableColumn id="26" xr3:uid="{00000000-0010-0000-0100-00001A000000}" name="node 25"/>
    <tableColumn id="27" xr3:uid="{00000000-0010-0000-0100-00001B000000}" name="node 26"/>
    <tableColumn id="28" xr3:uid="{00000000-0010-0000-0100-00001C000000}" name="node 27"/>
    <tableColumn id="29" xr3:uid="{00000000-0010-0000-0100-00001D000000}" name="node 28"/>
    <tableColumn id="30" xr3:uid="{00000000-0010-0000-0100-00001E000000}" name="node 29"/>
  </tableColumns>
  <tableStyleInfo name="Conductances between no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D5" activePane="bottomRight" state="frozen"/>
      <selection pane="topRight" activeCell="C1" sqref="C1"/>
      <selection pane="bottomLeft" activeCell="A5" sqref="A5"/>
      <selection pane="bottomRight" activeCell="K26" sqref="K26"/>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75" t="s">
        <v>25</v>
      </c>
      <c r="B41" s="71" t="s">
        <v>26</v>
      </c>
      <c r="C41" s="71">
        <v>4.0648000000000004E-2</v>
      </c>
      <c r="D41" s="78">
        <v>896</v>
      </c>
      <c r="E41" s="71">
        <v>5.1999999999999998E-3</v>
      </c>
      <c r="F41" s="71" t="s">
        <v>30</v>
      </c>
      <c r="G41" s="71">
        <v>0.8</v>
      </c>
      <c r="H41" s="71">
        <v>0.8</v>
      </c>
      <c r="I41" s="71" t="s">
        <v>31</v>
      </c>
      <c r="J41" s="71">
        <v>0</v>
      </c>
      <c r="K41" s="71">
        <v>167</v>
      </c>
      <c r="L41" s="71" t="s">
        <v>29</v>
      </c>
      <c r="M41" s="19"/>
      <c r="N41" s="19"/>
      <c r="O41" s="19"/>
      <c r="P41" s="19"/>
    </row>
    <row r="42" spans="1:17">
      <c r="A42" s="76" t="s">
        <v>32</v>
      </c>
      <c r="B42" s="72" t="s">
        <v>33</v>
      </c>
      <c r="C42" s="72">
        <v>4.0648000000000004E-2</v>
      </c>
      <c r="D42" s="78">
        <v>896</v>
      </c>
      <c r="E42" s="72">
        <v>5.1999999999999998E-3</v>
      </c>
      <c r="F42" s="72" t="s">
        <v>34</v>
      </c>
      <c r="G42" s="72">
        <v>0.8</v>
      </c>
      <c r="H42" s="72">
        <v>0.8</v>
      </c>
      <c r="I42" s="72" t="s">
        <v>35</v>
      </c>
      <c r="J42" s="72">
        <v>0</v>
      </c>
      <c r="K42" s="72">
        <v>167</v>
      </c>
      <c r="L42" s="72" t="s">
        <v>29</v>
      </c>
      <c r="M42" s="19"/>
      <c r="N42" s="19"/>
      <c r="O42" s="19"/>
      <c r="P42" s="19"/>
    </row>
    <row r="43" spans="1:17">
      <c r="A43" s="75" t="s">
        <v>36</v>
      </c>
      <c r="B43" s="71" t="s">
        <v>37</v>
      </c>
      <c r="C43" s="71">
        <v>7.2910000000000006E-3</v>
      </c>
      <c r="D43" s="78">
        <v>896</v>
      </c>
      <c r="E43" s="71">
        <v>0</v>
      </c>
      <c r="F43" s="71" t="s">
        <v>39</v>
      </c>
      <c r="G43" s="71">
        <v>0.8</v>
      </c>
      <c r="H43" s="71">
        <v>0.8</v>
      </c>
      <c r="I43" s="71" t="s">
        <v>40</v>
      </c>
      <c r="J43" s="71">
        <v>0</v>
      </c>
      <c r="K43" s="71">
        <v>167</v>
      </c>
      <c r="L43" s="71" t="s">
        <v>29</v>
      </c>
      <c r="M43" s="19"/>
      <c r="N43" s="19"/>
      <c r="O43" s="19"/>
      <c r="P43" s="19"/>
    </row>
    <row r="44" spans="1:17">
      <c r="A44" s="76" t="s">
        <v>41</v>
      </c>
      <c r="B44" s="72" t="s">
        <v>42</v>
      </c>
      <c r="C44" s="72">
        <v>7.3419999999999996E-3</v>
      </c>
      <c r="D44" s="78">
        <v>896</v>
      </c>
      <c r="E44" s="72">
        <v>0</v>
      </c>
      <c r="F44" s="72" t="s">
        <v>44</v>
      </c>
      <c r="G44" s="72">
        <v>0.8</v>
      </c>
      <c r="H44" s="72">
        <v>0.8</v>
      </c>
      <c r="I44" s="72" t="s">
        <v>45</v>
      </c>
      <c r="J44" s="72">
        <v>0</v>
      </c>
      <c r="K44" s="72">
        <v>167</v>
      </c>
      <c r="L44" s="72" t="s">
        <v>29</v>
      </c>
      <c r="M44" s="19"/>
      <c r="N44" s="19"/>
      <c r="O44" s="19"/>
      <c r="P44" s="19"/>
    </row>
    <row r="45" spans="1:17">
      <c r="A45" s="75" t="s">
        <v>46</v>
      </c>
      <c r="B45" s="71" t="s">
        <v>47</v>
      </c>
      <c r="C45" s="71">
        <v>6.4250000000000002E-3</v>
      </c>
      <c r="D45" s="78">
        <v>896</v>
      </c>
      <c r="E45" s="71">
        <v>0</v>
      </c>
      <c r="F45" s="71" t="s">
        <v>49</v>
      </c>
      <c r="G45" s="71">
        <v>0.8</v>
      </c>
      <c r="H45" s="71">
        <v>0.8</v>
      </c>
      <c r="I45" s="71" t="s">
        <v>50</v>
      </c>
      <c r="J45" s="71">
        <v>0</v>
      </c>
      <c r="K45" s="71">
        <v>167</v>
      </c>
      <c r="L45" s="71" t="s">
        <v>29</v>
      </c>
      <c r="M45" s="19"/>
      <c r="N45" s="19"/>
      <c r="O45" s="19"/>
      <c r="P45" s="19"/>
    </row>
    <row r="46" spans="1:17">
      <c r="A46" s="76" t="s">
        <v>51</v>
      </c>
      <c r="B46" s="72" t="s">
        <v>52</v>
      </c>
      <c r="C46" s="72">
        <v>6.2350000000000001E-3</v>
      </c>
      <c r="D46" s="78">
        <v>896</v>
      </c>
      <c r="E46" s="72">
        <v>0</v>
      </c>
      <c r="F46" s="72" t="s">
        <v>54</v>
      </c>
      <c r="G46" s="72">
        <v>0.8</v>
      </c>
      <c r="H46" s="72">
        <v>0.8</v>
      </c>
      <c r="I46" s="72" t="s">
        <v>55</v>
      </c>
      <c r="J46" s="72">
        <v>0</v>
      </c>
      <c r="K46" s="72">
        <v>167</v>
      </c>
      <c r="L46" s="72" t="s">
        <v>29</v>
      </c>
      <c r="M46" s="19"/>
      <c r="N46" s="19"/>
      <c r="O46" s="19"/>
      <c r="P46" s="19"/>
    </row>
    <row r="47" spans="1:17">
      <c r="A47" s="75" t="s">
        <v>56</v>
      </c>
      <c r="B47" s="71" t="s">
        <v>57</v>
      </c>
      <c r="C47" s="71">
        <v>2.1920000000000002E-2</v>
      </c>
      <c r="D47" s="78">
        <v>896</v>
      </c>
      <c r="E47" s="71">
        <v>9.5999999999999992E-3</v>
      </c>
      <c r="F47" s="71" t="s">
        <v>59</v>
      </c>
      <c r="G47" s="71">
        <v>0.8</v>
      </c>
      <c r="H47" s="71">
        <v>0.8</v>
      </c>
      <c r="I47" s="71" t="s">
        <v>60</v>
      </c>
      <c r="J47" s="71">
        <v>0</v>
      </c>
      <c r="K47" s="71">
        <v>167</v>
      </c>
      <c r="L47" s="71" t="s">
        <v>29</v>
      </c>
      <c r="M47" s="19"/>
      <c r="N47" s="19"/>
      <c r="O47" s="19"/>
      <c r="P47" s="19"/>
    </row>
    <row r="48" spans="1:17">
      <c r="A48" s="76" t="s">
        <v>61</v>
      </c>
      <c r="B48" s="72" t="s">
        <v>62</v>
      </c>
      <c r="C48" s="72">
        <v>1.8E-3</v>
      </c>
      <c r="D48" s="78">
        <v>1000</v>
      </c>
      <c r="E48" s="72">
        <v>5.7600000000000001E-4</v>
      </c>
      <c r="F48" s="72" t="s">
        <v>59</v>
      </c>
      <c r="G48" s="72">
        <v>0.8</v>
      </c>
      <c r="H48" s="72">
        <v>0.8</v>
      </c>
      <c r="I48" s="72" t="s">
        <v>65</v>
      </c>
      <c r="J48" s="72">
        <v>0</v>
      </c>
      <c r="K48" s="72">
        <v>0.188</v>
      </c>
      <c r="L48" s="72" t="s">
        <v>29</v>
      </c>
      <c r="M48" s="19"/>
      <c r="N48" s="19"/>
      <c r="O48" s="19"/>
      <c r="P48" s="19"/>
    </row>
    <row r="49" spans="1:16">
      <c r="A49" s="75" t="s">
        <v>67</v>
      </c>
      <c r="B49" s="71" t="s">
        <v>68</v>
      </c>
      <c r="C49" s="71">
        <v>1.8E-3</v>
      </c>
      <c r="D49" s="78">
        <v>1000</v>
      </c>
      <c r="E49" s="71">
        <v>5.7600000000000001E-4</v>
      </c>
      <c r="F49" s="71" t="s">
        <v>59</v>
      </c>
      <c r="G49" s="71">
        <v>0.8</v>
      </c>
      <c r="H49" s="71">
        <v>0.8</v>
      </c>
      <c r="I49" s="71" t="s">
        <v>65</v>
      </c>
      <c r="J49" s="71">
        <v>0</v>
      </c>
      <c r="K49" s="71">
        <v>0.188</v>
      </c>
      <c r="L49" s="71" t="s">
        <v>29</v>
      </c>
      <c r="M49" s="19"/>
      <c r="N49" s="19"/>
      <c r="O49" s="19"/>
      <c r="P49" s="19"/>
    </row>
    <row r="50" spans="1:16">
      <c r="A50" s="76" t="s">
        <v>69</v>
      </c>
      <c r="B50" s="72" t="s">
        <v>70</v>
      </c>
      <c r="C50" s="72">
        <v>1.8E-3</v>
      </c>
      <c r="D50" s="78">
        <v>1000</v>
      </c>
      <c r="E50" s="72">
        <v>5.7600000000000001E-4</v>
      </c>
      <c r="F50" s="72" t="s">
        <v>59</v>
      </c>
      <c r="G50" s="72">
        <v>0.8</v>
      </c>
      <c r="H50" s="72">
        <v>0.8</v>
      </c>
      <c r="I50" s="72" t="s">
        <v>65</v>
      </c>
      <c r="J50" s="72">
        <v>0</v>
      </c>
      <c r="K50" s="72">
        <v>0.188</v>
      </c>
      <c r="L50" s="72" t="s">
        <v>29</v>
      </c>
    </row>
    <row r="51" spans="1:16">
      <c r="A51" s="75" t="s">
        <v>71</v>
      </c>
      <c r="B51" s="71" t="s">
        <v>72</v>
      </c>
      <c r="C51" s="71">
        <v>1.8E-3</v>
      </c>
      <c r="D51" s="78">
        <v>1000</v>
      </c>
      <c r="E51" s="71">
        <v>5.7600000000000001E-4</v>
      </c>
      <c r="F51" s="71" t="s">
        <v>59</v>
      </c>
      <c r="G51" s="71">
        <v>0.8</v>
      </c>
      <c r="H51" s="71">
        <v>0.8</v>
      </c>
      <c r="I51" s="71" t="s">
        <v>65</v>
      </c>
      <c r="J51" s="71">
        <v>0</v>
      </c>
      <c r="K51" s="71">
        <v>0.188</v>
      </c>
      <c r="L51" s="71" t="s">
        <v>29</v>
      </c>
    </row>
    <row r="52" spans="1:16">
      <c r="A52" s="76" t="s">
        <v>73</v>
      </c>
      <c r="B52" s="72" t="s">
        <v>74</v>
      </c>
      <c r="C52" s="72">
        <v>2.375E-2</v>
      </c>
      <c r="D52" s="78">
        <v>1100</v>
      </c>
      <c r="E52" s="72">
        <v>0</v>
      </c>
      <c r="F52" s="72" t="s">
        <v>29</v>
      </c>
      <c r="G52" s="72" t="s">
        <v>29</v>
      </c>
      <c r="H52" s="72" t="s">
        <v>29</v>
      </c>
      <c r="I52" s="72" t="s">
        <v>77</v>
      </c>
      <c r="J52" s="72">
        <v>0</v>
      </c>
      <c r="K52" s="72">
        <v>0.28999999999999998</v>
      </c>
      <c r="L52" s="72" t="s">
        <v>29</v>
      </c>
    </row>
    <row r="53" spans="1:16">
      <c r="A53" s="75" t="s">
        <v>78</v>
      </c>
      <c r="B53" s="71" t="s">
        <v>79</v>
      </c>
      <c r="C53" s="71">
        <v>0.12590999999999999</v>
      </c>
      <c r="D53" s="78">
        <v>800</v>
      </c>
      <c r="E53" s="71">
        <v>0</v>
      </c>
      <c r="F53" s="71" t="s">
        <v>29</v>
      </c>
      <c r="G53" s="71" t="s">
        <v>29</v>
      </c>
      <c r="H53" s="71" t="s">
        <v>29</v>
      </c>
      <c r="I53" s="71" t="s">
        <v>82</v>
      </c>
      <c r="J53" s="71">
        <v>0</v>
      </c>
      <c r="K53" s="12" t="s">
        <v>29</v>
      </c>
      <c r="L53" s="71" t="s">
        <v>29</v>
      </c>
    </row>
    <row r="54" spans="1:16">
      <c r="A54" s="76" t="s">
        <v>83</v>
      </c>
      <c r="B54" s="72" t="s">
        <v>84</v>
      </c>
      <c r="C54" s="72">
        <v>3.9E-2</v>
      </c>
      <c r="D54" s="78">
        <v>932.5</v>
      </c>
      <c r="E54" s="72">
        <v>0</v>
      </c>
      <c r="F54" s="72" t="s">
        <v>29</v>
      </c>
      <c r="G54" s="72" t="s">
        <v>29</v>
      </c>
      <c r="H54" s="72" t="s">
        <v>29</v>
      </c>
      <c r="I54" s="72" t="s">
        <v>77</v>
      </c>
      <c r="J54" s="72">
        <v>0.5</v>
      </c>
      <c r="K54" s="72">
        <v>0.4</v>
      </c>
      <c r="L54" s="72" t="s">
        <v>29</v>
      </c>
    </row>
    <row r="55" spans="1:16">
      <c r="A55" s="75" t="s">
        <v>87</v>
      </c>
      <c r="B55" s="71" t="s">
        <v>88</v>
      </c>
      <c r="C55" s="71">
        <v>3.9E-2</v>
      </c>
      <c r="D55" s="78">
        <v>932.5</v>
      </c>
      <c r="E55" s="71">
        <v>0</v>
      </c>
      <c r="F55" s="71" t="s">
        <v>29</v>
      </c>
      <c r="G55" s="71" t="s">
        <v>29</v>
      </c>
      <c r="H55" s="71" t="s">
        <v>29</v>
      </c>
      <c r="I55" s="71" t="s">
        <v>77</v>
      </c>
      <c r="J55" s="71">
        <v>0.5</v>
      </c>
      <c r="K55" s="71">
        <v>0.4</v>
      </c>
      <c r="L55" s="71" t="s">
        <v>29</v>
      </c>
    </row>
    <row r="56" spans="1:16">
      <c r="A56" s="76" t="s">
        <v>89</v>
      </c>
      <c r="B56" s="72" t="s">
        <v>90</v>
      </c>
      <c r="C56" s="72">
        <v>3.9E-2</v>
      </c>
      <c r="D56" s="78">
        <v>932.5</v>
      </c>
      <c r="E56" s="72">
        <v>0</v>
      </c>
      <c r="F56" s="72" t="s">
        <v>29</v>
      </c>
      <c r="G56" s="72" t="s">
        <v>29</v>
      </c>
      <c r="H56" s="72" t="s">
        <v>29</v>
      </c>
      <c r="I56" s="72" t="s">
        <v>77</v>
      </c>
      <c r="J56" s="72">
        <v>0.5</v>
      </c>
      <c r="K56" s="72">
        <v>0.4</v>
      </c>
      <c r="L56" s="72" t="s">
        <v>29</v>
      </c>
    </row>
    <row r="57" spans="1:16">
      <c r="A57" s="75" t="s">
        <v>91</v>
      </c>
      <c r="B57" s="71" t="s">
        <v>92</v>
      </c>
      <c r="C57" s="71">
        <v>3.9E-2</v>
      </c>
      <c r="D57" s="78">
        <v>932.5</v>
      </c>
      <c r="E57" s="71">
        <v>0</v>
      </c>
      <c r="F57" s="71" t="s">
        <v>29</v>
      </c>
      <c r="G57" s="71" t="s">
        <v>29</v>
      </c>
      <c r="H57" s="71" t="s">
        <v>29</v>
      </c>
      <c r="I57" s="71" t="s">
        <v>77</v>
      </c>
      <c r="J57" s="71">
        <v>0.5</v>
      </c>
      <c r="K57" s="71">
        <v>0.4</v>
      </c>
      <c r="L57" s="71" t="s">
        <v>29</v>
      </c>
    </row>
    <row r="58" spans="1:16">
      <c r="A58" s="76" t="s">
        <v>93</v>
      </c>
      <c r="B58" s="72" t="s">
        <v>94</v>
      </c>
      <c r="C58" s="72">
        <v>0.05</v>
      </c>
      <c r="D58" s="78">
        <v>1000</v>
      </c>
      <c r="E58" s="72">
        <v>0</v>
      </c>
      <c r="F58" s="72" t="s">
        <v>29</v>
      </c>
      <c r="G58" s="72" t="s">
        <v>29</v>
      </c>
      <c r="H58" s="72" t="s">
        <v>29</v>
      </c>
      <c r="I58" s="72" t="s">
        <v>77</v>
      </c>
      <c r="J58" s="72">
        <v>0.1</v>
      </c>
      <c r="K58" s="72">
        <v>1.17</v>
      </c>
      <c r="L58" s="72" t="s">
        <v>29</v>
      </c>
    </row>
    <row r="59" spans="1:16">
      <c r="A59" s="75" t="s">
        <v>97</v>
      </c>
      <c r="B59" s="71" t="s">
        <v>98</v>
      </c>
      <c r="C59" s="71">
        <v>0.05</v>
      </c>
      <c r="D59" s="78">
        <v>1000</v>
      </c>
      <c r="E59" s="71">
        <v>0</v>
      </c>
      <c r="F59" s="71" t="s">
        <v>29</v>
      </c>
      <c r="G59" s="71" t="s">
        <v>29</v>
      </c>
      <c r="H59" s="71" t="s">
        <v>29</v>
      </c>
      <c r="I59" s="71" t="s">
        <v>77</v>
      </c>
      <c r="J59" s="71">
        <v>0</v>
      </c>
      <c r="K59" s="71">
        <v>1.17</v>
      </c>
      <c r="L59" s="71" t="s">
        <v>29</v>
      </c>
    </row>
    <row r="60" spans="1:16">
      <c r="A60" s="76" t="s">
        <v>99</v>
      </c>
      <c r="B60" s="72" t="s">
        <v>100</v>
      </c>
      <c r="C60" s="72">
        <v>3.8490000000000003E-2</v>
      </c>
      <c r="D60" s="78">
        <v>1100</v>
      </c>
      <c r="E60" s="72">
        <v>0</v>
      </c>
      <c r="F60" s="72" t="s">
        <v>29</v>
      </c>
      <c r="G60" s="72" t="s">
        <v>29</v>
      </c>
      <c r="H60" s="72" t="s">
        <v>29</v>
      </c>
      <c r="I60" s="72" t="s">
        <v>102</v>
      </c>
      <c r="J60" s="72">
        <v>0.5</v>
      </c>
      <c r="K60" s="72">
        <v>0.28999999999999998</v>
      </c>
      <c r="L60" s="72" t="s">
        <v>29</v>
      </c>
    </row>
    <row r="61" spans="1:16">
      <c r="A61" s="75" t="s">
        <v>103</v>
      </c>
      <c r="B61" s="71" t="s">
        <v>104</v>
      </c>
      <c r="C61" s="71">
        <v>7.4999999999999997E-2</v>
      </c>
      <c r="D61" s="78">
        <v>1100</v>
      </c>
      <c r="E61" s="71">
        <v>0</v>
      </c>
      <c r="F61" s="71" t="s">
        <v>29</v>
      </c>
      <c r="G61" s="71" t="s">
        <v>29</v>
      </c>
      <c r="H61" s="71" t="s">
        <v>29</v>
      </c>
      <c r="I61" s="71" t="s">
        <v>106</v>
      </c>
      <c r="J61" s="71">
        <v>0.5</v>
      </c>
      <c r="K61" s="71">
        <v>0.28999999999999998</v>
      </c>
      <c r="L61" s="71" t="s">
        <v>29</v>
      </c>
    </row>
    <row r="62" spans="1:16">
      <c r="A62" s="76" t="s">
        <v>107</v>
      </c>
      <c r="B62" s="72" t="s">
        <v>108</v>
      </c>
      <c r="C62" s="72">
        <v>8.5000000000000006E-2</v>
      </c>
      <c r="D62" s="78">
        <v>857.4</v>
      </c>
      <c r="E62" s="72">
        <v>0</v>
      </c>
      <c r="F62" s="72" t="s">
        <v>29</v>
      </c>
      <c r="G62" s="72" t="s">
        <v>29</v>
      </c>
      <c r="H62" s="72" t="s">
        <v>29</v>
      </c>
      <c r="I62" s="72" t="s">
        <v>111</v>
      </c>
      <c r="J62" s="72">
        <v>2</v>
      </c>
      <c r="K62" s="72">
        <v>167</v>
      </c>
      <c r="L62" s="72">
        <v>0.7</v>
      </c>
    </row>
    <row r="63" spans="1:16">
      <c r="A63" s="75" t="s">
        <v>112</v>
      </c>
      <c r="B63" s="71" t="s">
        <v>113</v>
      </c>
      <c r="C63" s="71">
        <v>2.4E-2</v>
      </c>
      <c r="D63" s="78">
        <v>1100</v>
      </c>
      <c r="E63" s="71">
        <v>0</v>
      </c>
      <c r="F63" s="71" t="s">
        <v>29</v>
      </c>
      <c r="G63" s="71" t="s">
        <v>29</v>
      </c>
      <c r="H63" s="71" t="s">
        <v>29</v>
      </c>
      <c r="I63" s="71" t="s">
        <v>115</v>
      </c>
      <c r="J63" s="77">
        <v>1.5</v>
      </c>
      <c r="K63" s="71">
        <v>0.28999999999999998</v>
      </c>
      <c r="L63" s="71" t="s">
        <v>29</v>
      </c>
    </row>
    <row r="64" spans="1:16">
      <c r="A64" s="76" t="s">
        <v>116</v>
      </c>
      <c r="B64" s="72" t="s">
        <v>117</v>
      </c>
      <c r="C64" s="72">
        <v>5.2999999999999999E-2</v>
      </c>
      <c r="D64" s="78">
        <v>703</v>
      </c>
      <c r="E64" s="72">
        <v>8.0940000000000005E-3</v>
      </c>
      <c r="F64" s="72" t="s">
        <v>120</v>
      </c>
      <c r="G64" s="72">
        <v>0.8</v>
      </c>
      <c r="H64" s="72">
        <v>0.8</v>
      </c>
      <c r="I64" s="72" t="s">
        <v>121</v>
      </c>
      <c r="J64" s="72">
        <v>2.4</v>
      </c>
      <c r="K64" s="72">
        <v>0.35</v>
      </c>
      <c r="L64" s="72">
        <v>2.2000000000000001E-3</v>
      </c>
    </row>
    <row r="65" spans="1:12">
      <c r="A65" s="75" t="s">
        <v>122</v>
      </c>
      <c r="B65" s="71" t="s">
        <v>123</v>
      </c>
      <c r="C65" s="71">
        <v>4.3999999999999997E-2</v>
      </c>
      <c r="D65" s="78">
        <v>703</v>
      </c>
      <c r="E65" s="71">
        <v>8.0940000000000005E-3</v>
      </c>
      <c r="F65" s="71" t="s">
        <v>125</v>
      </c>
      <c r="G65" s="71">
        <v>0.8</v>
      </c>
      <c r="H65" s="71">
        <v>0.8</v>
      </c>
      <c r="I65" s="71" t="s">
        <v>126</v>
      </c>
      <c r="J65" s="71">
        <v>2.4</v>
      </c>
      <c r="K65" s="71">
        <v>0.35</v>
      </c>
      <c r="L65" s="71">
        <v>2.2000000000000001E-3</v>
      </c>
    </row>
    <row r="66" spans="1:12">
      <c r="A66" s="76" t="s">
        <v>127</v>
      </c>
      <c r="B66" s="73" t="s">
        <v>128</v>
      </c>
      <c r="C66" s="72">
        <v>4.4999999999999998E-2</v>
      </c>
      <c r="D66" s="78">
        <v>703</v>
      </c>
      <c r="E66" s="72">
        <v>8.0940000000000005E-3</v>
      </c>
      <c r="F66" s="72" t="s">
        <v>30</v>
      </c>
      <c r="G66" s="72">
        <v>0.8</v>
      </c>
      <c r="H66" s="72">
        <v>0.8</v>
      </c>
      <c r="I66" s="72" t="s">
        <v>130</v>
      </c>
      <c r="J66" s="72">
        <v>2.4</v>
      </c>
      <c r="K66" s="72">
        <v>0.35</v>
      </c>
      <c r="L66" s="72">
        <v>2.2000000000000001E-3</v>
      </c>
    </row>
    <row r="67" spans="1:12">
      <c r="A67" s="75" t="s">
        <v>131</v>
      </c>
      <c r="B67" s="74" t="s">
        <v>132</v>
      </c>
      <c r="C67" s="71">
        <v>5.2999999999999999E-2</v>
      </c>
      <c r="D67" s="78">
        <v>703</v>
      </c>
      <c r="E67" s="71">
        <v>8.0940000000000005E-3</v>
      </c>
      <c r="F67" s="71" t="s">
        <v>34</v>
      </c>
      <c r="G67" s="71">
        <v>0.8</v>
      </c>
      <c r="H67" s="71">
        <v>0.8</v>
      </c>
      <c r="I67" s="71" t="s">
        <v>133</v>
      </c>
      <c r="J67" s="71">
        <v>2.4</v>
      </c>
      <c r="K67" s="71">
        <v>0.35</v>
      </c>
      <c r="L67" s="71">
        <v>2.2000000000000001E-3</v>
      </c>
    </row>
    <row r="68" spans="1:12">
      <c r="A68" s="76" t="s">
        <v>134</v>
      </c>
      <c r="B68" s="72" t="s">
        <v>135</v>
      </c>
      <c r="C68" s="72">
        <v>5.7500000000000002E-2</v>
      </c>
      <c r="D68" s="78">
        <v>703</v>
      </c>
      <c r="E68" s="72">
        <v>8.4469999999999996E-3</v>
      </c>
      <c r="F68" s="72" t="s">
        <v>137</v>
      </c>
      <c r="G68" s="72">
        <v>0.8</v>
      </c>
      <c r="H68" s="72">
        <v>0.8</v>
      </c>
      <c r="I68" s="72" t="s">
        <v>138</v>
      </c>
      <c r="J68" s="72">
        <v>2.4</v>
      </c>
      <c r="K68" s="72">
        <v>0.35</v>
      </c>
      <c r="L68" s="72">
        <v>2.2000000000000001E-3</v>
      </c>
    </row>
    <row r="69" spans="1:12">
      <c r="A69" s="75" t="s">
        <v>139</v>
      </c>
      <c r="B69" s="71" t="s">
        <v>140</v>
      </c>
      <c r="C69" s="71">
        <v>0.04</v>
      </c>
      <c r="D69" s="79">
        <v>1100</v>
      </c>
      <c r="E69" s="71">
        <v>0</v>
      </c>
      <c r="F69" s="71" t="s">
        <v>29</v>
      </c>
      <c r="G69" s="71" t="s">
        <v>29</v>
      </c>
      <c r="H69" s="71" t="s">
        <v>29</v>
      </c>
      <c r="I69" s="71" t="s">
        <v>142</v>
      </c>
      <c r="J69" s="71"/>
      <c r="K69" s="71">
        <v>0.28999999999999998</v>
      </c>
      <c r="L69" s="71"/>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workbookViewId="0"/>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8" t="s">
        <v>147</v>
      </c>
      <c r="H1" s="29"/>
      <c r="I1" s="30"/>
    </row>
    <row r="2" spans="1:9">
      <c r="A2" s="31" t="s">
        <v>148</v>
      </c>
      <c r="B2" s="7" t="s">
        <v>149</v>
      </c>
      <c r="G2" s="32"/>
      <c r="H2" s="140" t="s">
        <v>150</v>
      </c>
      <c r="I2" s="141"/>
    </row>
    <row r="3" spans="1:9">
      <c r="A3" s="33" t="s">
        <v>151</v>
      </c>
      <c r="B3" s="7" t="s">
        <v>152</v>
      </c>
      <c r="G3" s="34" t="s">
        <v>153</v>
      </c>
      <c r="H3" s="35">
        <v>1.57</v>
      </c>
      <c r="I3" s="36">
        <v>3.18</v>
      </c>
    </row>
    <row r="4" spans="1:9">
      <c r="A4" s="37" t="s">
        <v>154</v>
      </c>
      <c r="B4" s="7" t="s">
        <v>155</v>
      </c>
      <c r="G4" s="38">
        <v>2.5</v>
      </c>
      <c r="H4" s="39">
        <v>15.17</v>
      </c>
      <c r="I4" s="40" t="s">
        <v>156</v>
      </c>
    </row>
    <row r="5" spans="1:9">
      <c r="A5" s="41" t="s">
        <v>157</v>
      </c>
      <c r="B5" s="7" t="s">
        <v>158</v>
      </c>
      <c r="G5" s="42">
        <v>2.8</v>
      </c>
      <c r="H5" s="43">
        <v>12.6</v>
      </c>
      <c r="I5" s="44" t="s">
        <v>156</v>
      </c>
    </row>
    <row r="6" spans="1:9">
      <c r="G6" s="38">
        <v>3</v>
      </c>
      <c r="H6" s="39">
        <f>((H5-H7)/(G5-G7))*(G6-G7)+H7</f>
        <v>10.888571428571428</v>
      </c>
      <c r="I6" s="40">
        <f>((I7-I8)/(G7-G8))*(G6-G7)+I7</f>
        <v>2.7</v>
      </c>
    </row>
    <row r="7" spans="1:9">
      <c r="G7" s="42">
        <v>3.5</v>
      </c>
      <c r="H7" s="43">
        <v>6.61</v>
      </c>
      <c r="I7" s="44">
        <v>2.2000000000000002</v>
      </c>
    </row>
    <row r="8" spans="1:9">
      <c r="A8" s="45" t="s">
        <v>159</v>
      </c>
      <c r="B8" s="46" t="s">
        <v>160</v>
      </c>
      <c r="G8" s="47">
        <v>4.2</v>
      </c>
      <c r="H8" s="48">
        <v>4.5</v>
      </c>
      <c r="I8" s="49">
        <v>1.5</v>
      </c>
    </row>
    <row r="9" spans="1:9">
      <c r="A9" s="50" t="s">
        <v>161</v>
      </c>
      <c r="B9" s="51" t="s">
        <v>151</v>
      </c>
    </row>
    <row r="10" spans="1:9">
      <c r="A10" s="52" t="s">
        <v>162</v>
      </c>
      <c r="B10" s="53" t="s">
        <v>163</v>
      </c>
    </row>
    <row r="11" spans="1:9">
      <c r="A11" s="52" t="s">
        <v>14</v>
      </c>
      <c r="B11" s="54">
        <v>7.762E-4</v>
      </c>
    </row>
    <row r="12" spans="1:9">
      <c r="A12" s="52" t="s">
        <v>164</v>
      </c>
      <c r="B12" s="53">
        <v>1</v>
      </c>
    </row>
    <row r="13" spans="1:9">
      <c r="A13" s="52" t="s">
        <v>165</v>
      </c>
      <c r="B13" s="53" t="s">
        <v>166</v>
      </c>
    </row>
    <row r="14" spans="1:9">
      <c r="A14" s="52" t="s">
        <v>167</v>
      </c>
      <c r="B14" s="53" t="s">
        <v>168</v>
      </c>
    </row>
    <row r="15" spans="1:9">
      <c r="A15" s="52" t="s">
        <v>169</v>
      </c>
      <c r="B15" s="53">
        <v>3.18</v>
      </c>
    </row>
    <row r="16" spans="1:9">
      <c r="A16" s="52" t="s">
        <v>170</v>
      </c>
      <c r="B16" s="55">
        <v>2.7</v>
      </c>
    </row>
    <row r="17" spans="1:2">
      <c r="A17" s="56" t="s">
        <v>171</v>
      </c>
      <c r="B17" s="57">
        <f>1/B16</f>
        <v>0.37037037037037035</v>
      </c>
    </row>
    <row r="18" spans="1:2">
      <c r="A18" s="58" t="s">
        <v>172</v>
      </c>
      <c r="B18" s="59">
        <f>B12*B17</f>
        <v>0.37037037037037035</v>
      </c>
    </row>
    <row r="20" spans="1:2">
      <c r="A20" s="45" t="s">
        <v>173</v>
      </c>
      <c r="B20" s="46" t="s">
        <v>174</v>
      </c>
    </row>
    <row r="21" spans="1:2">
      <c r="A21" s="60" t="s">
        <v>161</v>
      </c>
      <c r="B21" s="61" t="s">
        <v>154</v>
      </c>
    </row>
    <row r="22" spans="1:2">
      <c r="A22" s="52" t="s">
        <v>162</v>
      </c>
      <c r="B22" s="53" t="s">
        <v>175</v>
      </c>
    </row>
    <row r="23" spans="1:2">
      <c r="A23" s="52" t="s">
        <v>14</v>
      </c>
      <c r="B23" s="54">
        <v>4.8523999999999998E-3</v>
      </c>
    </row>
    <row r="24" spans="1:2">
      <c r="A24" s="52" t="s">
        <v>176</v>
      </c>
      <c r="B24" s="55">
        <v>50</v>
      </c>
    </row>
    <row r="25" spans="1:2">
      <c r="A25" s="62" t="s">
        <v>172</v>
      </c>
      <c r="B25" s="63">
        <f>B24*B23</f>
        <v>0.24262</v>
      </c>
    </row>
    <row r="27" spans="1:2">
      <c r="A27" s="45" t="s">
        <v>177</v>
      </c>
      <c r="B27" s="46" t="s">
        <v>178</v>
      </c>
    </row>
    <row r="28" spans="1:2">
      <c r="A28" s="50" t="s">
        <v>161</v>
      </c>
      <c r="B28" s="51" t="s">
        <v>151</v>
      </c>
    </row>
    <row r="29" spans="1:2">
      <c r="A29" s="52" t="s">
        <v>162</v>
      </c>
      <c r="B29" s="53" t="s">
        <v>179</v>
      </c>
    </row>
    <row r="30" spans="1:2">
      <c r="A30" s="52" t="s">
        <v>14</v>
      </c>
      <c r="B30" s="54">
        <v>1.302E-2</v>
      </c>
    </row>
    <row r="31" spans="1:2">
      <c r="A31" s="52" t="s">
        <v>164</v>
      </c>
      <c r="B31" s="53">
        <v>4</v>
      </c>
    </row>
    <row r="32" spans="1:2">
      <c r="A32" s="52" t="s">
        <v>165</v>
      </c>
      <c r="B32" s="53" t="s">
        <v>166</v>
      </c>
    </row>
    <row r="33" spans="1:6">
      <c r="A33" s="52" t="s">
        <v>167</v>
      </c>
      <c r="B33" s="53" t="s">
        <v>180</v>
      </c>
    </row>
    <row r="34" spans="1:6">
      <c r="A34" s="52" t="s">
        <v>169</v>
      </c>
      <c r="B34" s="53">
        <v>1.57</v>
      </c>
    </row>
    <row r="35" spans="1:6">
      <c r="A35" s="52" t="s">
        <v>170</v>
      </c>
      <c r="B35" s="55">
        <v>10.89</v>
      </c>
    </row>
    <row r="36" spans="1:6">
      <c r="A36" s="7" t="s">
        <v>171</v>
      </c>
      <c r="B36" s="64">
        <f>1/B35</f>
        <v>9.1827364554637275E-2</v>
      </c>
    </row>
    <row r="37" spans="1:6">
      <c r="A37" s="58" t="s">
        <v>172</v>
      </c>
      <c r="B37" s="59">
        <f>B31*B36</f>
        <v>0.3673094582185491</v>
      </c>
    </row>
    <row r="38" spans="1:6">
      <c r="F38" s="7" t="s">
        <v>181</v>
      </c>
    </row>
    <row r="39" spans="1:6">
      <c r="A39" s="45" t="s">
        <v>182</v>
      </c>
      <c r="B39" s="46" t="s">
        <v>183</v>
      </c>
    </row>
    <row r="40" spans="1:6">
      <c r="A40" s="50" t="s">
        <v>161</v>
      </c>
      <c r="B40" s="51" t="s">
        <v>151</v>
      </c>
    </row>
    <row r="41" spans="1:6">
      <c r="A41" s="52" t="s">
        <v>162</v>
      </c>
      <c r="B41" s="53" t="s">
        <v>184</v>
      </c>
    </row>
    <row r="42" spans="1:6">
      <c r="A42" s="52" t="s">
        <v>14</v>
      </c>
      <c r="B42" s="54">
        <v>3.9569999999999996E-3</v>
      </c>
    </row>
    <row r="43" spans="1:6">
      <c r="A43" s="52" t="s">
        <v>164</v>
      </c>
      <c r="B43" s="53">
        <v>2</v>
      </c>
    </row>
    <row r="44" spans="1:6">
      <c r="A44" s="52" t="s">
        <v>165</v>
      </c>
      <c r="B44" s="53" t="s">
        <v>166</v>
      </c>
    </row>
    <row r="45" spans="1:6">
      <c r="A45" s="52" t="s">
        <v>167</v>
      </c>
      <c r="B45" s="53" t="s">
        <v>185</v>
      </c>
    </row>
    <row r="46" spans="1:6">
      <c r="A46" s="52" t="s">
        <v>169</v>
      </c>
      <c r="B46" s="53">
        <v>1.57</v>
      </c>
    </row>
    <row r="47" spans="1:6">
      <c r="A47" s="52" t="s">
        <v>170</v>
      </c>
      <c r="B47" s="55">
        <v>10.89</v>
      </c>
    </row>
    <row r="48" spans="1:6">
      <c r="A48" s="7" t="s">
        <v>171</v>
      </c>
      <c r="B48" s="64">
        <f>1/B47</f>
        <v>9.1827364554637275E-2</v>
      </c>
    </row>
    <row r="49" spans="1:2">
      <c r="A49" s="58" t="s">
        <v>172</v>
      </c>
      <c r="B49" s="59">
        <f>B43*B48</f>
        <v>0.18365472910927455</v>
      </c>
    </row>
    <row r="51" spans="1:2">
      <c r="A51" s="45" t="s">
        <v>186</v>
      </c>
      <c r="B51" s="46" t="s">
        <v>187</v>
      </c>
    </row>
    <row r="52" spans="1:2">
      <c r="A52" s="50" t="s">
        <v>161</v>
      </c>
      <c r="B52" s="51" t="s">
        <v>151</v>
      </c>
    </row>
    <row r="53" spans="1:2">
      <c r="A53" s="52" t="s">
        <v>162</v>
      </c>
      <c r="B53" s="53" t="s">
        <v>188</v>
      </c>
    </row>
    <row r="54" spans="1:2">
      <c r="A54" s="52" t="s">
        <v>14</v>
      </c>
      <c r="B54" s="54">
        <v>1.6140000000000002E-2</v>
      </c>
    </row>
    <row r="55" spans="1:2">
      <c r="A55" s="52" t="s">
        <v>164</v>
      </c>
      <c r="B55" s="53">
        <v>2</v>
      </c>
    </row>
    <row r="56" spans="1:2">
      <c r="A56" s="52" t="s">
        <v>165</v>
      </c>
      <c r="B56" s="53" t="s">
        <v>166</v>
      </c>
    </row>
    <row r="57" spans="1:2">
      <c r="A57" s="52" t="s">
        <v>167</v>
      </c>
      <c r="B57" s="53" t="s">
        <v>185</v>
      </c>
    </row>
    <row r="58" spans="1:2">
      <c r="A58" s="52" t="s">
        <v>169</v>
      </c>
      <c r="B58" s="53">
        <v>1.57</v>
      </c>
    </row>
    <row r="59" spans="1:2">
      <c r="A59" s="52" t="s">
        <v>170</v>
      </c>
      <c r="B59" s="55">
        <v>10.89</v>
      </c>
    </row>
    <row r="60" spans="1:2">
      <c r="A60" s="7" t="s">
        <v>171</v>
      </c>
      <c r="B60" s="57">
        <f>1/B59</f>
        <v>9.1827364554637275E-2</v>
      </c>
    </row>
    <row r="61" spans="1:2">
      <c r="A61" s="58" t="s">
        <v>172</v>
      </c>
      <c r="B61" s="59">
        <f>B55*B60</f>
        <v>0.18365472910927455</v>
      </c>
    </row>
    <row r="63" spans="1:2">
      <c r="A63" s="45" t="s">
        <v>189</v>
      </c>
      <c r="B63" s="46" t="s">
        <v>190</v>
      </c>
    </row>
    <row r="64" spans="1:2">
      <c r="A64" s="50" t="s">
        <v>161</v>
      </c>
      <c r="B64" s="51" t="s">
        <v>151</v>
      </c>
    </row>
    <row r="65" spans="1:2">
      <c r="A65" s="52" t="s">
        <v>162</v>
      </c>
      <c r="B65" s="53" t="s">
        <v>191</v>
      </c>
    </row>
    <row r="66" spans="1:2">
      <c r="A66" s="52" t="s">
        <v>14</v>
      </c>
      <c r="B66" s="54" t="s">
        <v>192</v>
      </c>
    </row>
    <row r="67" spans="1:2">
      <c r="A67" s="52" t="s">
        <v>164</v>
      </c>
      <c r="B67" s="53">
        <v>4</v>
      </c>
    </row>
    <row r="68" spans="1:2">
      <c r="A68" s="52" t="s">
        <v>165</v>
      </c>
      <c r="B68" s="53" t="s">
        <v>193</v>
      </c>
    </row>
    <row r="69" spans="1:2">
      <c r="A69" s="52" t="s">
        <v>167</v>
      </c>
      <c r="B69" s="53" t="s">
        <v>180</v>
      </c>
    </row>
    <row r="70" spans="1:2">
      <c r="A70" s="52" t="s">
        <v>169</v>
      </c>
      <c r="B70" s="53">
        <v>1.57</v>
      </c>
    </row>
    <row r="71" spans="1:2">
      <c r="A71" s="52" t="s">
        <v>170</v>
      </c>
      <c r="B71" s="55">
        <v>15.17</v>
      </c>
    </row>
    <row r="72" spans="1:2">
      <c r="A72" s="7" t="s">
        <v>171</v>
      </c>
      <c r="B72" s="57">
        <f>1/B71</f>
        <v>6.5919578114700061E-2</v>
      </c>
    </row>
    <row r="73" spans="1:2">
      <c r="A73" s="58" t="s">
        <v>172</v>
      </c>
      <c r="B73" s="59">
        <f>B67*B72</f>
        <v>0.26367831245880025</v>
      </c>
    </row>
    <row r="75" spans="1:2">
      <c r="A75" s="65" t="s">
        <v>194</v>
      </c>
      <c r="B75" s="66" t="s">
        <v>195</v>
      </c>
    </row>
    <row r="76" spans="1:2">
      <c r="A76" s="67" t="s">
        <v>161</v>
      </c>
      <c r="B76" s="68" t="s">
        <v>148</v>
      </c>
    </row>
    <row r="77" spans="1:2">
      <c r="A77" s="52" t="s">
        <v>162</v>
      </c>
      <c r="B77" s="53" t="s">
        <v>196</v>
      </c>
    </row>
    <row r="78" spans="1:2">
      <c r="A78" s="52" t="s">
        <v>14</v>
      </c>
      <c r="B78" s="54">
        <v>5.4999999999999997E-3</v>
      </c>
    </row>
    <row r="79" spans="1:2">
      <c r="A79" s="52" t="s">
        <v>164</v>
      </c>
      <c r="B79" s="53">
        <v>2</v>
      </c>
    </row>
    <row r="80" spans="1:2">
      <c r="A80" s="52" t="s">
        <v>165</v>
      </c>
      <c r="B80" s="53" t="s">
        <v>166</v>
      </c>
    </row>
    <row r="81" spans="1:2">
      <c r="A81" s="52" t="s">
        <v>167</v>
      </c>
      <c r="B81" s="53" t="s">
        <v>197</v>
      </c>
    </row>
    <row r="82" spans="1:2">
      <c r="A82" s="52" t="s">
        <v>169</v>
      </c>
      <c r="B82" s="53">
        <v>1.57</v>
      </c>
    </row>
    <row r="83" spans="1:2">
      <c r="A83" s="52" t="s">
        <v>170</v>
      </c>
      <c r="B83" s="55">
        <v>10.89</v>
      </c>
    </row>
    <row r="84" spans="1:2">
      <c r="A84" s="7" t="s">
        <v>171</v>
      </c>
      <c r="B84" s="53">
        <f>1/B83</f>
        <v>9.1827364554637275E-2</v>
      </c>
    </row>
    <row r="85" spans="1:2">
      <c r="A85" s="52" t="s">
        <v>198</v>
      </c>
      <c r="B85" s="55">
        <v>1000</v>
      </c>
    </row>
    <row r="86" spans="1:2">
      <c r="A86" s="58" t="s">
        <v>172</v>
      </c>
      <c r="B86" s="59">
        <f>B79*B84+B85*B78</f>
        <v>5.6836547291092749</v>
      </c>
    </row>
    <row r="88" spans="1:2">
      <c r="A88" s="45" t="s">
        <v>199</v>
      </c>
      <c r="B88" s="46" t="s">
        <v>200</v>
      </c>
    </row>
    <row r="89" spans="1:2">
      <c r="A89" s="50" t="s">
        <v>161</v>
      </c>
      <c r="B89" s="51" t="s">
        <v>151</v>
      </c>
    </row>
    <row r="90" spans="1:2">
      <c r="A90" s="52" t="s">
        <v>162</v>
      </c>
      <c r="B90" s="53" t="s">
        <v>201</v>
      </c>
    </row>
    <row r="91" spans="1:2">
      <c r="A91" s="52" t="s">
        <v>164</v>
      </c>
      <c r="B91" s="53">
        <v>4</v>
      </c>
    </row>
    <row r="92" spans="1:2">
      <c r="A92" s="52" t="s">
        <v>165</v>
      </c>
      <c r="B92" s="53" t="s">
        <v>166</v>
      </c>
    </row>
    <row r="93" spans="1:2">
      <c r="A93" s="52" t="s">
        <v>167</v>
      </c>
      <c r="B93" s="53">
        <v>1.57</v>
      </c>
    </row>
    <row r="94" spans="1:2">
      <c r="A94" s="52" t="s">
        <v>169</v>
      </c>
      <c r="B94" s="53">
        <v>1.57</v>
      </c>
    </row>
    <row r="95" spans="1:2">
      <c r="A95" s="52" t="s">
        <v>170</v>
      </c>
      <c r="B95" s="55">
        <v>10.89</v>
      </c>
    </row>
    <row r="96" spans="1:2">
      <c r="A96" s="7" t="s">
        <v>171</v>
      </c>
      <c r="B96" s="57">
        <f>1/B95</f>
        <v>9.1827364554637275E-2</v>
      </c>
    </row>
    <row r="97" spans="1:2">
      <c r="A97" s="58" t="s">
        <v>172</v>
      </c>
      <c r="B97" s="59">
        <f>B91*B96</f>
        <v>0.3673094582185491</v>
      </c>
    </row>
    <row r="99" spans="1:2">
      <c r="A99" s="45" t="s">
        <v>202</v>
      </c>
      <c r="B99" s="46" t="s">
        <v>203</v>
      </c>
    </row>
    <row r="100" spans="1:2">
      <c r="A100" s="50" t="s">
        <v>161</v>
      </c>
      <c r="B100" s="51" t="s">
        <v>151</v>
      </c>
    </row>
    <row r="101" spans="1:2">
      <c r="A101" s="52" t="s">
        <v>162</v>
      </c>
      <c r="B101" s="53" t="s">
        <v>204</v>
      </c>
    </row>
    <row r="102" spans="1:2">
      <c r="A102" s="52" t="s">
        <v>164</v>
      </c>
      <c r="B102" s="53">
        <v>2</v>
      </c>
    </row>
    <row r="103" spans="1:2">
      <c r="A103" s="52" t="s">
        <v>165</v>
      </c>
      <c r="B103" s="53" t="s">
        <v>166</v>
      </c>
    </row>
    <row r="104" spans="1:2">
      <c r="A104" s="52" t="s">
        <v>167</v>
      </c>
      <c r="B104" s="53" t="s">
        <v>205</v>
      </c>
    </row>
    <row r="105" spans="1:2">
      <c r="A105" s="52" t="s">
        <v>169</v>
      </c>
      <c r="B105" s="53">
        <v>1.57</v>
      </c>
    </row>
    <row r="106" spans="1:2">
      <c r="A106" s="52" t="s">
        <v>170</v>
      </c>
      <c r="B106" s="55">
        <v>10.89</v>
      </c>
    </row>
    <row r="107" spans="1:2">
      <c r="A107" s="7" t="s">
        <v>171</v>
      </c>
      <c r="B107" s="57">
        <f>1/B106</f>
        <v>9.1827364554637275E-2</v>
      </c>
    </row>
    <row r="108" spans="1:2">
      <c r="A108" s="58" t="s">
        <v>172</v>
      </c>
      <c r="B108" s="59">
        <f>B102*B107</f>
        <v>0.18365472910927455</v>
      </c>
    </row>
    <row r="110" spans="1:2">
      <c r="A110" s="65" t="s">
        <v>206</v>
      </c>
      <c r="B110" s="66" t="s">
        <v>207</v>
      </c>
    </row>
    <row r="111" spans="1:2">
      <c r="A111" s="69" t="s">
        <v>161</v>
      </c>
      <c r="B111" s="70" t="s">
        <v>157</v>
      </c>
    </row>
    <row r="112" spans="1:2">
      <c r="A112" s="52" t="s">
        <v>162</v>
      </c>
      <c r="B112" s="53" t="s">
        <v>208</v>
      </c>
    </row>
    <row r="113" spans="1:2">
      <c r="A113" s="52" t="s">
        <v>14</v>
      </c>
      <c r="B113" s="54">
        <v>3.7569999999999999E-2</v>
      </c>
    </row>
    <row r="114" spans="1:2">
      <c r="A114" s="52" t="s">
        <v>198</v>
      </c>
      <c r="B114" s="55">
        <v>1000</v>
      </c>
    </row>
    <row r="115" spans="1:2">
      <c r="A115" s="58" t="s">
        <v>172</v>
      </c>
      <c r="B115" s="59">
        <f>B114*B113</f>
        <v>37.57</v>
      </c>
    </row>
    <row r="117" spans="1:2">
      <c r="A117" s="45" t="s">
        <v>209</v>
      </c>
      <c r="B117" s="46" t="s">
        <v>210</v>
      </c>
    </row>
    <row r="118" spans="1:2">
      <c r="A118" s="50" t="s">
        <v>161</v>
      </c>
      <c r="B118" s="51" t="s">
        <v>151</v>
      </c>
    </row>
    <row r="119" spans="1:2">
      <c r="A119" s="52" t="s">
        <v>162</v>
      </c>
      <c r="B119" s="53" t="s">
        <v>211</v>
      </c>
    </row>
    <row r="120" spans="1:2">
      <c r="A120" s="52" t="s">
        <v>14</v>
      </c>
      <c r="B120" s="54" t="s">
        <v>192</v>
      </c>
    </row>
    <row r="121" spans="1:2">
      <c r="A121" s="52" t="s">
        <v>164</v>
      </c>
      <c r="B121" s="53">
        <v>4</v>
      </c>
    </row>
    <row r="122" spans="1:2">
      <c r="A122" s="52" t="s">
        <v>165</v>
      </c>
      <c r="B122" s="53" t="s">
        <v>166</v>
      </c>
    </row>
    <row r="123" spans="1:2">
      <c r="A123" s="52" t="s">
        <v>167</v>
      </c>
      <c r="B123" s="53" t="s">
        <v>212</v>
      </c>
    </row>
    <row r="124" spans="1:2">
      <c r="A124" s="52" t="s">
        <v>169</v>
      </c>
      <c r="B124" s="53">
        <v>1.57</v>
      </c>
    </row>
    <row r="125" spans="1:2">
      <c r="A125" s="52" t="s">
        <v>170</v>
      </c>
      <c r="B125" s="55">
        <v>10.89</v>
      </c>
    </row>
    <row r="126" spans="1:2">
      <c r="A126" s="56" t="s">
        <v>171</v>
      </c>
      <c r="B126" s="57">
        <f>1/B125</f>
        <v>9.1827364554637275E-2</v>
      </c>
    </row>
    <row r="127" spans="1:2">
      <c r="A127" s="58" t="s">
        <v>172</v>
      </c>
      <c r="B127" s="59">
        <f>B121*B126</f>
        <v>0.3673094582185491</v>
      </c>
    </row>
  </sheetData>
  <mergeCells count="1">
    <mergeCell ref="H2:I2"/>
  </mergeCell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workbookViewId="0">
      <selection activeCell="B3" sqref="B3"/>
    </sheetView>
  </sheetViews>
  <sheetFormatPr baseColWidth="10" defaultRowHeight="15"/>
  <cols>
    <col min="2" max="2" width="14.85546875" customWidth="1"/>
    <col min="3" max="3" width="15.85546875" customWidth="1"/>
    <col min="4" max="4" width="15.140625" customWidth="1"/>
    <col min="5" max="5" width="16.140625" customWidth="1"/>
    <col min="6" max="6" width="16.28515625" customWidth="1"/>
  </cols>
  <sheetData>
    <row r="1" spans="2:6" ht="15.75" thickBot="1"/>
    <row r="2" spans="2:6" ht="45">
      <c r="B2" s="137" t="s">
        <v>266</v>
      </c>
      <c r="C2" s="138" t="s">
        <v>267</v>
      </c>
      <c r="D2" s="138" t="s">
        <v>265</v>
      </c>
      <c r="E2" s="138" t="s">
        <v>264</v>
      </c>
      <c r="F2" s="139" t="s">
        <v>263</v>
      </c>
    </row>
    <row r="3" spans="2:6" ht="15.75" thickBot="1">
      <c r="B3" s="127">
        <v>1</v>
      </c>
      <c r="C3" s="85">
        <v>1</v>
      </c>
      <c r="D3" s="85">
        <v>0</v>
      </c>
      <c r="E3" s="85">
        <v>300</v>
      </c>
      <c r="F3" s="128">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N37"/>
  <sheetViews>
    <sheetView tabSelected="1" workbookViewId="0">
      <selection activeCell="P12" sqref="P12"/>
    </sheetView>
  </sheetViews>
  <sheetFormatPr baseColWidth="10" defaultRowHeight="15"/>
  <cols>
    <col min="2" max="2" width="32" bestFit="1" customWidth="1"/>
  </cols>
  <sheetData>
    <row r="1" spans="1:14" ht="15.75" thickBot="1"/>
    <row r="2" spans="1:14" ht="15.75" thickBot="1">
      <c r="B2" s="132" t="s">
        <v>257</v>
      </c>
      <c r="C2" s="142" t="s">
        <v>259</v>
      </c>
      <c r="D2" s="144" t="s">
        <v>259</v>
      </c>
      <c r="E2" s="144" t="s">
        <v>258</v>
      </c>
      <c r="F2" s="145" t="s">
        <v>260</v>
      </c>
      <c r="G2" s="117"/>
    </row>
    <row r="3" spans="1:14">
      <c r="B3" s="87" t="s">
        <v>253</v>
      </c>
      <c r="C3" s="89">
        <f>IFERROR(C4+C5*60+C6*3600+C7*3600*24+B3,C4+C5*60+C6*3600+C7*3600*24)</f>
        <v>32400</v>
      </c>
      <c r="D3" s="89">
        <f t="shared" ref="D3:F3" si="0">IFERROR(D4+D5*60+D6*3600+D7*3600*24+C3,D4+D5*60+D6*3600+D7*3600*24)</f>
        <v>32400</v>
      </c>
      <c r="E3" s="89">
        <f t="shared" si="0"/>
        <v>32400</v>
      </c>
      <c r="F3" s="89">
        <f t="shared" si="0"/>
        <v>32460</v>
      </c>
      <c r="G3" s="91"/>
      <c r="H3" s="81"/>
      <c r="I3" s="81"/>
      <c r="J3" s="81"/>
      <c r="K3" s="81"/>
      <c r="L3" s="81"/>
      <c r="M3" s="81"/>
      <c r="N3" s="81"/>
    </row>
    <row r="4" spans="1:14">
      <c r="B4" s="88" t="s">
        <v>256</v>
      </c>
      <c r="C4" s="86"/>
      <c r="D4" s="84"/>
      <c r="E4" s="83"/>
      <c r="F4" s="90"/>
      <c r="G4" s="91"/>
    </row>
    <row r="5" spans="1:14">
      <c r="B5" s="88" t="s">
        <v>255</v>
      </c>
      <c r="C5" s="86"/>
      <c r="D5" s="84"/>
      <c r="E5" s="83"/>
      <c r="F5" s="90">
        <v>1</v>
      </c>
      <c r="G5" s="91"/>
    </row>
    <row r="6" spans="1:14">
      <c r="B6" s="88" t="s">
        <v>254</v>
      </c>
      <c r="C6" s="143">
        <v>9</v>
      </c>
      <c r="D6" s="84"/>
      <c r="E6" s="83"/>
      <c r="F6" s="90"/>
      <c r="G6" s="91"/>
    </row>
    <row r="7" spans="1:14">
      <c r="B7" s="112" t="s">
        <v>261</v>
      </c>
      <c r="C7" s="113"/>
      <c r="D7" s="114"/>
      <c r="E7" s="115"/>
      <c r="F7" s="116"/>
      <c r="G7" s="91"/>
    </row>
    <row r="8" spans="1:14">
      <c r="A8" s="82">
        <v>1</v>
      </c>
      <c r="B8" s="92" t="str">
        <f>HLOOKUP(B$2,Modes!$B$2:$E$31,$A8+1)</f>
        <v>Frame 1, +X</v>
      </c>
      <c r="C8" s="93">
        <f>HLOOKUP(C$2,Modes!$B$2:$O$31,$A8+1,FALSE)</f>
        <v>0</v>
      </c>
      <c r="D8" s="93">
        <f>HLOOKUP(D$2,Modes!$B$2:$O$31,$A8+1,FALSE)</f>
        <v>0</v>
      </c>
      <c r="E8" s="93">
        <f>HLOOKUP(E$2,Modes!$B$2:$O$31,$A8+1,FALSE)</f>
        <v>0</v>
      </c>
      <c r="F8" s="93">
        <f>HLOOKUP(F$2,Modes!$B$2:$O$31,$A8+1,FALSE)</f>
        <v>0</v>
      </c>
      <c r="G8" s="94"/>
      <c r="H8" s="94"/>
      <c r="I8" s="94"/>
      <c r="J8" s="94"/>
      <c r="K8" s="94"/>
    </row>
    <row r="9" spans="1:14">
      <c r="A9" s="82">
        <v>2</v>
      </c>
      <c r="B9" s="92" t="str">
        <f>HLOOKUP(B$2,Modes!$B$2:$E$31,$A9+1)</f>
        <v>Frame 2, -X</v>
      </c>
      <c r="C9" s="93">
        <f>HLOOKUP(C$2,Modes!$B$2:$O$31,$A9+1,FALSE)</f>
        <v>0</v>
      </c>
      <c r="D9" s="93">
        <f>HLOOKUP(D$2,Modes!$B$2:$O$31,$A9+1,FALSE)</f>
        <v>0</v>
      </c>
      <c r="E9" s="93">
        <f>HLOOKUP(E$2,Modes!$B$2:$O$31,$A9+1,FALSE)</f>
        <v>0</v>
      </c>
      <c r="F9" s="93">
        <f>HLOOKUP(F$2,Modes!$B$2:$O$31,$A9+1,FALSE)</f>
        <v>0</v>
      </c>
      <c r="G9" s="94"/>
      <c r="H9" s="94"/>
      <c r="I9" s="94"/>
      <c r="J9" s="94"/>
      <c r="K9" s="94"/>
    </row>
    <row r="10" spans="1:14">
      <c r="A10" s="82">
        <v>3</v>
      </c>
      <c r="B10" s="92" t="str">
        <f>HLOOKUP(B$2,Modes!$B$2:$E$31,$A10+1)</f>
        <v>Beam -Y +Z</v>
      </c>
      <c r="C10" s="93">
        <f>HLOOKUP(C$2,Modes!$B$2:$O$31,$A10+1,FALSE)</f>
        <v>0</v>
      </c>
      <c r="D10" s="93">
        <f>HLOOKUP(D$2,Modes!$B$2:$O$31,$A10+1,FALSE)</f>
        <v>0</v>
      </c>
      <c r="E10" s="93">
        <f>HLOOKUP(E$2,Modes!$B$2:$O$31,$A10+1,FALSE)</f>
        <v>0</v>
      </c>
      <c r="F10" s="93">
        <f>HLOOKUP(F$2,Modes!$B$2:$O$31,$A10+1,FALSE)</f>
        <v>0</v>
      </c>
      <c r="G10" s="94"/>
      <c r="H10" s="94"/>
      <c r="I10" s="94"/>
      <c r="J10" s="94"/>
      <c r="K10" s="94"/>
    </row>
    <row r="11" spans="1:14">
      <c r="A11" s="82">
        <v>4</v>
      </c>
      <c r="B11" s="92" t="str">
        <f>HLOOKUP(B$2,Modes!$B$2:$E$31,$A11+1)</f>
        <v>Beam +Y +Z</v>
      </c>
      <c r="C11" s="93">
        <f>HLOOKUP(C$2,Modes!$B$2:$O$31,$A11+1,FALSE)</f>
        <v>0</v>
      </c>
      <c r="D11" s="93">
        <f>HLOOKUP(D$2,Modes!$B$2:$O$31,$A11+1,FALSE)</f>
        <v>0</v>
      </c>
      <c r="E11" s="93">
        <f>HLOOKUP(E$2,Modes!$B$2:$O$31,$A11+1,FALSE)</f>
        <v>0</v>
      </c>
      <c r="F11" s="93">
        <f>HLOOKUP(F$2,Modes!$B$2:$O$31,$A11+1,FALSE)</f>
        <v>0</v>
      </c>
      <c r="G11" s="94"/>
      <c r="H11" s="94"/>
      <c r="I11" s="94"/>
      <c r="J11" s="94"/>
      <c r="K11" s="94"/>
    </row>
    <row r="12" spans="1:14">
      <c r="A12" s="82">
        <v>5</v>
      </c>
      <c r="B12" s="92" t="str">
        <f>HLOOKUP(B$2,Modes!$B$2:$E$31,$A12+1)</f>
        <v>Beam +Y -Z</v>
      </c>
      <c r="C12" s="93">
        <f>HLOOKUP(C$2,Modes!$B$2:$O$31,$A12+1,FALSE)</f>
        <v>0</v>
      </c>
      <c r="D12" s="93">
        <f>HLOOKUP(D$2,Modes!$B$2:$O$31,$A12+1,FALSE)</f>
        <v>0</v>
      </c>
      <c r="E12" s="93">
        <f>HLOOKUP(E$2,Modes!$B$2:$O$31,$A12+1,FALSE)</f>
        <v>0</v>
      </c>
      <c r="F12" s="93">
        <f>HLOOKUP(F$2,Modes!$B$2:$O$31,$A12+1,FALSE)</f>
        <v>0</v>
      </c>
      <c r="G12" s="94"/>
      <c r="H12" s="94"/>
      <c r="I12" s="94"/>
      <c r="J12" s="94"/>
      <c r="K12" s="94"/>
    </row>
    <row r="13" spans="1:14">
      <c r="A13" s="82">
        <v>6</v>
      </c>
      <c r="B13" s="92" t="str">
        <f>HLOOKUP(B$2,Modes!$B$2:$E$31,$A13+1)</f>
        <v>Beam -Y -Z</v>
      </c>
      <c r="C13" s="93">
        <f>HLOOKUP(C$2,Modes!$B$2:$O$31,$A13+1,FALSE)</f>
        <v>0</v>
      </c>
      <c r="D13" s="93">
        <f>HLOOKUP(D$2,Modes!$B$2:$O$31,$A13+1,FALSE)</f>
        <v>0</v>
      </c>
      <c r="E13" s="93">
        <f>HLOOKUP(E$2,Modes!$B$2:$O$31,$A13+1,FALSE)</f>
        <v>0</v>
      </c>
      <c r="F13" s="93">
        <f>HLOOKUP(F$2,Modes!$B$2:$O$31,$A13+1,FALSE)</f>
        <v>0</v>
      </c>
      <c r="G13" s="94"/>
      <c r="H13" s="94"/>
      <c r="I13" s="94"/>
      <c r="J13" s="94"/>
      <c r="K13" s="94"/>
    </row>
    <row r="14" spans="1:14">
      <c r="A14" s="82">
        <v>7</v>
      </c>
      <c r="B14" s="92" t="str">
        <f>HLOOKUP(B$2,Modes!$B$2:$E$31,$A14+1)</f>
        <v xml:space="preserve">panel +Z, payload plate </v>
      </c>
      <c r="C14" s="93">
        <f>HLOOKUP(C$2,Modes!$B$2:$O$31,$A14+1,FALSE)</f>
        <v>0</v>
      </c>
      <c r="D14" s="93">
        <f>HLOOKUP(D$2,Modes!$B$2:$O$31,$A14+1,FALSE)</f>
        <v>0</v>
      </c>
      <c r="E14" s="93">
        <f>HLOOKUP(E$2,Modes!$B$2:$O$31,$A14+1,FALSE)</f>
        <v>0</v>
      </c>
      <c r="F14" s="93">
        <f>HLOOKUP(F$2,Modes!$B$2:$O$31,$A14+1,FALSE)</f>
        <v>0</v>
      </c>
      <c r="G14" s="94"/>
      <c r="H14" s="94"/>
      <c r="I14" s="94"/>
      <c r="J14" s="94"/>
      <c r="K14" s="94"/>
    </row>
    <row r="15" spans="1:14">
      <c r="A15" s="82">
        <v>8</v>
      </c>
      <c r="B15" s="92" t="str">
        <f>HLOOKUP(B$2,Modes!$B$2:$E$31,$A15+1)</f>
        <v xml:space="preserve">LED 1 </v>
      </c>
      <c r="C15" s="93">
        <f>HLOOKUP(C$2,Modes!$B$2:$O$31,$A15+1,FALSE)</f>
        <v>5.0999999999999996</v>
      </c>
      <c r="D15" s="93">
        <f>HLOOKUP(D$2,Modes!$B$2:$O$31,$A15+1,FALSE)</f>
        <v>5.0999999999999996</v>
      </c>
      <c r="E15" s="93">
        <f>HLOOKUP(E$2,Modes!$B$2:$O$31,$A15+1,FALSE)</f>
        <v>200</v>
      </c>
      <c r="F15" s="93">
        <f>HLOOKUP(F$2,Modes!$B$2:$O$31,$A15+1,FALSE)</f>
        <v>0</v>
      </c>
      <c r="G15" s="94"/>
      <c r="H15" s="94"/>
      <c r="I15" s="94"/>
      <c r="J15" s="94"/>
      <c r="K15" s="94"/>
    </row>
    <row r="16" spans="1:14">
      <c r="A16" s="82">
        <v>9</v>
      </c>
      <c r="B16" s="92" t="str">
        <f>HLOOKUP(B$2,Modes!$B$2:$E$31,$A16+1)</f>
        <v>LED 2</v>
      </c>
      <c r="C16" s="93">
        <f>HLOOKUP(C$2,Modes!$B$2:$O$31,$A16+1,FALSE)</f>
        <v>5.0999999999999996</v>
      </c>
      <c r="D16" s="93">
        <f>HLOOKUP(D$2,Modes!$B$2:$O$31,$A16+1,FALSE)</f>
        <v>5.0999999999999996</v>
      </c>
      <c r="E16" s="93">
        <f>HLOOKUP(E$2,Modes!$B$2:$O$31,$A16+1,FALSE)</f>
        <v>200</v>
      </c>
      <c r="F16" s="93">
        <f>HLOOKUP(F$2,Modes!$B$2:$O$31,$A16+1,FALSE)</f>
        <v>0</v>
      </c>
      <c r="G16" s="94"/>
      <c r="H16" s="94"/>
      <c r="I16" s="94"/>
      <c r="J16" s="94"/>
      <c r="K16" s="94"/>
    </row>
    <row r="17" spans="1:11">
      <c r="A17" s="82">
        <v>10</v>
      </c>
      <c r="B17" s="92" t="str">
        <f>HLOOKUP(B$2,Modes!$B$2:$E$31,$A17+1)</f>
        <v>LED 3</v>
      </c>
      <c r="C17" s="93">
        <f>HLOOKUP(C$2,Modes!$B$2:$O$31,$A17+1,FALSE)</f>
        <v>5.0999999999999996</v>
      </c>
      <c r="D17" s="93">
        <f>HLOOKUP(D$2,Modes!$B$2:$O$31,$A17+1,FALSE)</f>
        <v>5.0999999999999996</v>
      </c>
      <c r="E17" s="93">
        <f>HLOOKUP(E$2,Modes!$B$2:$O$31,$A17+1,FALSE)</f>
        <v>200</v>
      </c>
      <c r="F17" s="93">
        <f>HLOOKUP(F$2,Modes!$B$2:$O$31,$A17+1,FALSE)</f>
        <v>0</v>
      </c>
      <c r="G17" s="94"/>
      <c r="H17" s="94"/>
      <c r="I17" s="94"/>
      <c r="J17" s="94"/>
      <c r="K17" s="94"/>
    </row>
    <row r="18" spans="1:11">
      <c r="A18" s="82">
        <v>11</v>
      </c>
      <c r="B18" s="92" t="str">
        <f>HLOOKUP(B$2,Modes!$B$2:$E$31,$A18+1)</f>
        <v xml:space="preserve">LED 4 </v>
      </c>
      <c r="C18" s="93">
        <f>HLOOKUP(C$2,Modes!$B$2:$O$31,$A18+1,FALSE)</f>
        <v>5.0999999999999996</v>
      </c>
      <c r="D18" s="93">
        <f>HLOOKUP(D$2,Modes!$B$2:$O$31,$A18+1,FALSE)</f>
        <v>5.0999999999999996</v>
      </c>
      <c r="E18" s="93">
        <f>HLOOKUP(E$2,Modes!$B$2:$O$31,$A18+1,FALSE)</f>
        <v>200</v>
      </c>
      <c r="F18" s="93">
        <f>HLOOKUP(F$2,Modes!$B$2:$O$31,$A18+1,FALSE)</f>
        <v>0</v>
      </c>
      <c r="G18" s="94"/>
      <c r="H18" s="94"/>
      <c r="I18" s="94"/>
      <c r="J18" s="94"/>
      <c r="K18" s="94"/>
    </row>
    <row r="19" spans="1:11">
      <c r="A19" s="82">
        <v>12</v>
      </c>
      <c r="B19" s="92" t="str">
        <f>HLOOKUP(B$2,Modes!$B$2:$E$31,$A19+1)</f>
        <v>Node 12, BMS</v>
      </c>
      <c r="C19" s="93">
        <f>HLOOKUP(C$2,Modes!$B$2:$O$31,$A19+1,FALSE)</f>
        <v>0</v>
      </c>
      <c r="D19" s="93">
        <f>HLOOKUP(D$2,Modes!$B$2:$O$31,$A19+1,FALSE)</f>
        <v>0</v>
      </c>
      <c r="E19" s="93">
        <f>HLOOKUP(E$2,Modes!$B$2:$O$31,$A19+1,FALSE)</f>
        <v>0</v>
      </c>
      <c r="F19" s="93">
        <f>HLOOKUP(F$2,Modes!$B$2:$O$31,$A19+1,FALSE)</f>
        <v>0</v>
      </c>
      <c r="G19" s="94"/>
      <c r="H19" s="94"/>
      <c r="I19" s="94"/>
      <c r="J19" s="94"/>
      <c r="K19" s="94"/>
    </row>
    <row r="20" spans="1:11">
      <c r="A20" s="82">
        <v>13</v>
      </c>
      <c r="B20" s="92" t="str">
        <f>HLOOKUP(B$2,Modes!$B$2:$E$31,$A20+1)</f>
        <v>Node 13, Batteries Isolation</v>
      </c>
      <c r="C20" s="93">
        <f>HLOOKUP(C$2,Modes!$B$2:$O$31,$A20+1,FALSE)</f>
        <v>0</v>
      </c>
      <c r="D20" s="93">
        <f>HLOOKUP(D$2,Modes!$B$2:$O$31,$A20+1,FALSE)</f>
        <v>0</v>
      </c>
      <c r="E20" s="93">
        <f>HLOOKUP(E$2,Modes!$B$2:$O$31,$A20+1,FALSE)</f>
        <v>0</v>
      </c>
      <c r="F20" s="93">
        <f>HLOOKUP(F$2,Modes!$B$2:$O$31,$A20+1,FALSE)</f>
        <v>0</v>
      </c>
      <c r="G20" s="94"/>
      <c r="H20" s="94"/>
      <c r="I20" s="94"/>
      <c r="J20" s="94"/>
      <c r="K20" s="94"/>
    </row>
    <row r="21" spans="1:11">
      <c r="A21" s="82">
        <v>14</v>
      </c>
      <c r="B21" s="92" t="str">
        <f>HLOOKUP(B$2,Modes!$B$2:$E$31,$A21+1)</f>
        <v>Node 14, LiFePo4 1</v>
      </c>
      <c r="C21" s="93">
        <f>HLOOKUP(C$2,Modes!$B$2:$O$31,$A21+1,FALSE)</f>
        <v>0</v>
      </c>
      <c r="D21" s="93">
        <f>HLOOKUP(D$2,Modes!$B$2:$O$31,$A21+1,FALSE)</f>
        <v>0</v>
      </c>
      <c r="E21" s="93">
        <f>HLOOKUP(E$2,Modes!$B$2:$O$31,$A21+1,FALSE)</f>
        <v>0</v>
      </c>
      <c r="F21" s="93">
        <f>HLOOKUP(F$2,Modes!$B$2:$O$31,$A21+1,FALSE)</f>
        <v>0</v>
      </c>
      <c r="G21" s="94"/>
      <c r="H21" s="94"/>
      <c r="I21" s="94"/>
      <c r="J21" s="94"/>
      <c r="K21" s="94"/>
    </row>
    <row r="22" spans="1:11">
      <c r="A22" s="82">
        <v>15</v>
      </c>
      <c r="B22" s="92" t="str">
        <f>HLOOKUP(B$2,Modes!$B$2:$E$31,$A22+1)</f>
        <v>Node 15, LiFePo4 3</v>
      </c>
      <c r="C22" s="93">
        <f>HLOOKUP(C$2,Modes!$B$2:$O$31,$A22+1,FALSE)</f>
        <v>0</v>
      </c>
      <c r="D22" s="93">
        <f>HLOOKUP(D$2,Modes!$B$2:$O$31,$A22+1,FALSE)</f>
        <v>0</v>
      </c>
      <c r="E22" s="93">
        <f>HLOOKUP(E$2,Modes!$B$2:$O$31,$A22+1,FALSE)</f>
        <v>0</v>
      </c>
      <c r="F22" s="93">
        <f>HLOOKUP(F$2,Modes!$B$2:$O$31,$A22+1,FALSE)</f>
        <v>0</v>
      </c>
      <c r="G22" s="94"/>
      <c r="H22" s="94"/>
      <c r="I22" s="94"/>
      <c r="J22" s="94"/>
      <c r="K22" s="94"/>
    </row>
    <row r="23" spans="1:11">
      <c r="A23" s="82">
        <v>16</v>
      </c>
      <c r="B23" s="92" t="str">
        <f>HLOOKUP(B$2,Modes!$B$2:$E$31,$A23+1)</f>
        <v>Node 16, LiFePo4 2</v>
      </c>
      <c r="C23" s="93">
        <f>HLOOKUP(C$2,Modes!$B$2:$O$31,$A23+1,FALSE)</f>
        <v>0</v>
      </c>
      <c r="D23" s="93">
        <f>HLOOKUP(D$2,Modes!$B$2:$O$31,$A23+1,FALSE)</f>
        <v>0</v>
      </c>
      <c r="E23" s="93">
        <f>HLOOKUP(E$2,Modes!$B$2:$O$31,$A23+1,FALSE)</f>
        <v>0</v>
      </c>
      <c r="F23" s="93">
        <f>HLOOKUP(F$2,Modes!$B$2:$O$31,$A23+1,FALSE)</f>
        <v>0</v>
      </c>
      <c r="G23" s="94"/>
      <c r="H23" s="94"/>
      <c r="I23" s="94"/>
      <c r="J23" s="94"/>
      <c r="K23" s="94"/>
    </row>
    <row r="24" spans="1:11">
      <c r="A24" s="82">
        <v>17</v>
      </c>
      <c r="B24" s="92" t="str">
        <f>HLOOKUP(B$2,Modes!$B$2:$E$31,$A24+1)</f>
        <v>Node 17, LiFePo4 4</v>
      </c>
      <c r="C24" s="93">
        <f>HLOOKUP(C$2,Modes!$B$2:$O$31,$A24+1,FALSE)</f>
        <v>0</v>
      </c>
      <c r="D24" s="93">
        <f>HLOOKUP(D$2,Modes!$B$2:$O$31,$A24+1,FALSE)</f>
        <v>0</v>
      </c>
      <c r="E24" s="93">
        <f>HLOOKUP(E$2,Modes!$B$2:$O$31,$A24+1,FALSE)</f>
        <v>0</v>
      </c>
      <c r="F24" s="93">
        <f>HLOOKUP(F$2,Modes!$B$2:$O$31,$A24+1,FALSE)</f>
        <v>0</v>
      </c>
      <c r="G24" s="94"/>
      <c r="H24" s="94"/>
      <c r="I24" s="94"/>
      <c r="J24" s="94"/>
      <c r="K24" s="94"/>
    </row>
    <row r="25" spans="1:11">
      <c r="A25" s="82">
        <v>18</v>
      </c>
      <c r="B25" s="92" t="str">
        <f>HLOOKUP(B$2,Modes!$B$2:$E$31,$A25+1)</f>
        <v>Node 18, Cell Litio 1</v>
      </c>
      <c r="C25" s="93">
        <f>HLOOKUP(C$2,Modes!$B$2:$O$31,$A25+1,FALSE)</f>
        <v>0</v>
      </c>
      <c r="D25" s="93">
        <f>HLOOKUP(D$2,Modes!$B$2:$O$31,$A25+1,FALSE)</f>
        <v>0</v>
      </c>
      <c r="E25" s="93">
        <f>HLOOKUP(E$2,Modes!$B$2:$O$31,$A25+1,FALSE)</f>
        <v>0</v>
      </c>
      <c r="F25" s="93">
        <f>HLOOKUP(F$2,Modes!$B$2:$O$31,$A25+1,FALSE)</f>
        <v>0</v>
      </c>
      <c r="G25" s="94"/>
      <c r="H25" s="94"/>
      <c r="I25" s="94"/>
      <c r="J25" s="94"/>
      <c r="K25" s="94"/>
    </row>
    <row r="26" spans="1:11">
      <c r="A26" s="82">
        <v>19</v>
      </c>
      <c r="B26" s="92" t="str">
        <f>HLOOKUP(B$2,Modes!$B$2:$E$31,$A26+1)</f>
        <v>Node 19, Cell Litio 2</v>
      </c>
      <c r="C26" s="93">
        <f>HLOOKUP(C$2,Modes!$B$2:$O$31,$A26+1,FALSE)</f>
        <v>0</v>
      </c>
      <c r="D26" s="93">
        <f>HLOOKUP(D$2,Modes!$B$2:$O$31,$A26+1,FALSE)</f>
        <v>0</v>
      </c>
      <c r="E26" s="93">
        <f>HLOOKUP(E$2,Modes!$B$2:$O$31,$A26+1,FALSE)</f>
        <v>0</v>
      </c>
      <c r="F26" s="93">
        <f>HLOOKUP(F$2,Modes!$B$2:$O$31,$A26+1,FALSE)</f>
        <v>0</v>
      </c>
      <c r="G26" s="94"/>
      <c r="H26" s="94"/>
      <c r="I26" s="94"/>
      <c r="J26" s="94"/>
      <c r="K26" s="94"/>
    </row>
    <row r="27" spans="1:11">
      <c r="A27" s="82">
        <v>20</v>
      </c>
      <c r="B27" s="92" t="str">
        <f>HLOOKUP(B$2,Modes!$B$2:$E$31,$A27+1)</f>
        <v>Node 20, LoMo</v>
      </c>
      <c r="C27" s="93">
        <f>HLOOKUP(C$2,Modes!$B$2:$O$31,$A27+1,FALSE)</f>
        <v>0</v>
      </c>
      <c r="D27" s="93">
        <f>HLOOKUP(D$2,Modes!$B$2:$O$31,$A27+1,FALSE)</f>
        <v>0</v>
      </c>
      <c r="E27" s="93">
        <f>HLOOKUP(E$2,Modes!$B$2:$O$31,$A27+1,FALSE)</f>
        <v>0</v>
      </c>
      <c r="F27" s="93">
        <f>HLOOKUP(F$2,Modes!$B$2:$O$31,$A27+1,FALSE)</f>
        <v>0</v>
      </c>
      <c r="G27" s="94"/>
      <c r="H27" s="94"/>
      <c r="I27" s="94"/>
      <c r="J27" s="94"/>
      <c r="K27" s="94"/>
    </row>
    <row r="28" spans="1:11">
      <c r="A28" s="82">
        <v>21</v>
      </c>
      <c r="B28" s="92" t="str">
        <f>HLOOKUP(B$2,Modes!$B$2:$E$31,$A28+1)</f>
        <v>Node 21, Transceiver(Tx-Rx)</v>
      </c>
      <c r="C28" s="93">
        <f>HLOOKUP(C$2,Modes!$B$2:$O$31,$A28+1,FALSE)</f>
        <v>0</v>
      </c>
      <c r="D28" s="93">
        <f>HLOOKUP(D$2,Modes!$B$2:$O$31,$A28+1,FALSE)</f>
        <v>0</v>
      </c>
      <c r="E28" s="93">
        <f>HLOOKUP(E$2,Modes!$B$2:$O$31,$A28+1,FALSE)</f>
        <v>0</v>
      </c>
      <c r="F28" s="93">
        <f>HLOOKUP(F$2,Modes!$B$2:$O$31,$A28+1,FALSE)</f>
        <v>0</v>
      </c>
      <c r="G28" s="94"/>
      <c r="H28" s="94"/>
      <c r="I28" s="94"/>
      <c r="J28" s="94"/>
      <c r="K28" s="94"/>
    </row>
    <row r="29" spans="1:11">
      <c r="A29" s="82">
        <v>22</v>
      </c>
      <c r="B29" s="92" t="str">
        <f>HLOOKUP(B$2,Modes!$B$2:$E$31,$A29+1)</f>
        <v>Node 22, Antena module</v>
      </c>
      <c r="C29" s="93">
        <f>HLOOKUP(C$2,Modes!$B$2:$O$31,$A29+1,FALSE)</f>
        <v>0</v>
      </c>
      <c r="D29" s="93">
        <f>HLOOKUP(D$2,Modes!$B$2:$O$31,$A29+1,FALSE)</f>
        <v>0</v>
      </c>
      <c r="E29" s="93">
        <f>HLOOKUP(E$2,Modes!$B$2:$O$31,$A29+1,FALSE)</f>
        <v>0</v>
      </c>
      <c r="F29" s="93">
        <f>HLOOKUP(F$2,Modes!$B$2:$O$31,$A29+1,FALSE)</f>
        <v>0</v>
      </c>
      <c r="G29" s="94"/>
      <c r="H29" s="94"/>
      <c r="I29" s="94"/>
      <c r="J29" s="94"/>
      <c r="K29" s="94"/>
    </row>
    <row r="30" spans="1:11">
      <c r="A30" s="82">
        <v>23</v>
      </c>
      <c r="B30" s="92" t="str">
        <f>HLOOKUP(B$2,Modes!$B$2:$E$31,$A30+1)</f>
        <v>Node 23, OBC</v>
      </c>
      <c r="C30" s="93">
        <f>HLOOKUP(C$2,Modes!$B$2:$O$31,$A30+1,FALSE)</f>
        <v>0</v>
      </c>
      <c r="D30" s="93">
        <f>HLOOKUP(D$2,Modes!$B$2:$O$31,$A30+1,FALSE)</f>
        <v>0</v>
      </c>
      <c r="E30" s="93">
        <f>HLOOKUP(E$2,Modes!$B$2:$O$31,$A30+1,FALSE)</f>
        <v>0</v>
      </c>
      <c r="F30" s="93">
        <f>HLOOKUP(F$2,Modes!$B$2:$O$31,$A30+1,FALSE)</f>
        <v>0</v>
      </c>
      <c r="G30" s="94"/>
      <c r="H30" s="94"/>
      <c r="I30" s="94"/>
      <c r="J30" s="94"/>
      <c r="K30" s="94"/>
    </row>
    <row r="31" spans="1:11">
      <c r="A31" s="82">
        <v>24</v>
      </c>
      <c r="B31" s="92" t="str">
        <f>HLOOKUP(B$2,Modes!$B$2:$E$31,$A31+1)</f>
        <v>Node 24, Solar Panel (Y)</v>
      </c>
      <c r="C31" s="93">
        <f>HLOOKUP(C$2,Modes!$B$2:$O$31,$A31+1,FALSE)</f>
        <v>0</v>
      </c>
      <c r="D31" s="93">
        <f>HLOOKUP(D$2,Modes!$B$2:$O$31,$A31+1,FALSE)</f>
        <v>0</v>
      </c>
      <c r="E31" s="93">
        <f>HLOOKUP(E$2,Modes!$B$2:$O$31,$A31+1,FALSE)</f>
        <v>0</v>
      </c>
      <c r="F31" s="93">
        <f>HLOOKUP(F$2,Modes!$B$2:$O$31,$A31+1,FALSE)</f>
        <v>0</v>
      </c>
      <c r="G31" s="94"/>
      <c r="H31" s="94"/>
      <c r="I31" s="94"/>
      <c r="J31" s="94"/>
      <c r="K31" s="94"/>
    </row>
    <row r="32" spans="1:11">
      <c r="A32" s="82">
        <v>25</v>
      </c>
      <c r="B32" s="92" t="str">
        <f>HLOOKUP(B$2,Modes!$B$2:$E$31,$A32+1)</f>
        <v>Node 25, Solar Panel (-Y)</v>
      </c>
      <c r="C32" s="93">
        <f>HLOOKUP(C$2,Modes!$B$2:$O$31,$A32+1,FALSE)</f>
        <v>0</v>
      </c>
      <c r="D32" s="93">
        <f>HLOOKUP(D$2,Modes!$B$2:$O$31,$A32+1,FALSE)</f>
        <v>0</v>
      </c>
      <c r="E32" s="93">
        <f>HLOOKUP(E$2,Modes!$B$2:$O$31,$A32+1,FALSE)</f>
        <v>0</v>
      </c>
      <c r="F32" s="93">
        <f>HLOOKUP(F$2,Modes!$B$2:$O$31,$A32+1,FALSE)</f>
        <v>0</v>
      </c>
      <c r="G32" s="94"/>
      <c r="H32" s="94"/>
      <c r="I32" s="94"/>
      <c r="J32" s="94"/>
      <c r="K32" s="94"/>
    </row>
    <row r="33" spans="1:11">
      <c r="A33" s="82">
        <v>26</v>
      </c>
      <c r="B33" s="92" t="str">
        <f>HLOOKUP(B$2,Modes!$B$2:$E$31,$A33+1)</f>
        <v>Node 26, Solar Panel (X)</v>
      </c>
      <c r="C33" s="93">
        <f>HLOOKUP(C$2,Modes!$B$2:$O$31,$A33+1,FALSE)</f>
        <v>0</v>
      </c>
      <c r="D33" s="93">
        <f>HLOOKUP(D$2,Modes!$B$2:$O$31,$A33+1,FALSE)</f>
        <v>0</v>
      </c>
      <c r="E33" s="93">
        <f>HLOOKUP(E$2,Modes!$B$2:$O$31,$A33+1,FALSE)</f>
        <v>0</v>
      </c>
      <c r="F33" s="93">
        <f>HLOOKUP(F$2,Modes!$B$2:$O$31,$A33+1,FALSE)</f>
        <v>0</v>
      </c>
      <c r="G33" s="94"/>
      <c r="H33" s="94"/>
      <c r="I33" s="94"/>
      <c r="J33" s="94"/>
      <c r="K33" s="94"/>
    </row>
    <row r="34" spans="1:11">
      <c r="A34" s="82">
        <v>27</v>
      </c>
      <c r="B34" s="92" t="str">
        <f>HLOOKUP(B$2,Modes!$B$2:$E$31,$A34+1)</f>
        <v>Node 27, Solar Panel (-X)RBF</v>
      </c>
      <c r="C34" s="93">
        <f>HLOOKUP(C$2,Modes!$B$2:$O$31,$A34+1,FALSE)</f>
        <v>0</v>
      </c>
      <c r="D34" s="93">
        <f>HLOOKUP(D$2,Modes!$B$2:$O$31,$A34+1,FALSE)</f>
        <v>0</v>
      </c>
      <c r="E34" s="93">
        <f>HLOOKUP(E$2,Modes!$B$2:$O$31,$A34+1,FALSE)</f>
        <v>0</v>
      </c>
      <c r="F34" s="93">
        <f>HLOOKUP(F$2,Modes!$B$2:$O$31,$A34+1,FALSE)</f>
        <v>0</v>
      </c>
      <c r="G34" s="94"/>
      <c r="H34" s="94"/>
      <c r="I34" s="94"/>
      <c r="J34" s="94"/>
      <c r="K34" s="94"/>
    </row>
    <row r="35" spans="1:11">
      <c r="A35" s="82">
        <v>28</v>
      </c>
      <c r="B35" s="92" t="str">
        <f>HLOOKUP(B$2,Modes!$B$2:$E$31,$A35+1)</f>
        <v>Node 28, Solar Panel (-Z(antenna))</v>
      </c>
      <c r="C35" s="93">
        <f>HLOOKUP(C$2,Modes!$B$2:$O$31,$A35+1,FALSE)</f>
        <v>0</v>
      </c>
      <c r="D35" s="93">
        <f>HLOOKUP(D$2,Modes!$B$2:$O$31,$A35+1,FALSE)</f>
        <v>0</v>
      </c>
      <c r="E35" s="93">
        <f>HLOOKUP(E$2,Modes!$B$2:$O$31,$A35+1,FALSE)</f>
        <v>0</v>
      </c>
      <c r="F35" s="93">
        <f>HLOOKUP(F$2,Modes!$B$2:$O$31,$A35+1,FALSE)</f>
        <v>0</v>
      </c>
      <c r="G35" s="94"/>
      <c r="H35" s="94"/>
      <c r="I35" s="94"/>
      <c r="J35" s="94"/>
      <c r="K35" s="94"/>
    </row>
    <row r="36" spans="1:11" ht="15.75" thickBot="1">
      <c r="A36" s="82">
        <v>29</v>
      </c>
      <c r="B36" s="95" t="str">
        <f>HLOOKUP(B$2,Modes!$B$2:$E$31,$A36+1)</f>
        <v>Node 29, EPS de alta</v>
      </c>
      <c r="C36" s="93">
        <f>HLOOKUP(C$2,Modes!$B$2:$O$31,$A36+1,FALSE)</f>
        <v>0</v>
      </c>
      <c r="D36" s="93">
        <f>HLOOKUP(D$2,Modes!$B$2:$O$31,$A36+1,FALSE)</f>
        <v>0</v>
      </c>
      <c r="E36" s="93">
        <f>HLOOKUP(E$2,Modes!$B$2:$O$31,$A36+1,FALSE)</f>
        <v>0</v>
      </c>
      <c r="F36" s="93">
        <f>HLOOKUP(F$2,Modes!$B$2:$O$31,$A36+1,FALSE)</f>
        <v>0</v>
      </c>
      <c r="G36" s="94"/>
      <c r="H36" s="94"/>
      <c r="I36" s="94"/>
      <c r="J36" s="94"/>
      <c r="K36" s="94"/>
    </row>
    <row r="37" spans="1:11">
      <c r="B37" s="8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32"/>
  <sheetViews>
    <sheetView workbookViewId="0">
      <selection activeCell="B3" sqref="B3:B31"/>
    </sheetView>
  </sheetViews>
  <sheetFormatPr baseColWidth="10" defaultRowHeight="15"/>
  <cols>
    <col min="2" max="2" width="32" bestFit="1" customWidth="1"/>
  </cols>
  <sheetData>
    <row r="1" spans="2:15" ht="15.75" thickBot="1"/>
    <row r="2" spans="2:15" ht="15.75" thickBot="1">
      <c r="B2" s="133" t="s">
        <v>257</v>
      </c>
      <c r="C2" s="118" t="s">
        <v>260</v>
      </c>
      <c r="D2" s="119" t="s">
        <v>258</v>
      </c>
      <c r="E2" s="119" t="s">
        <v>259</v>
      </c>
      <c r="F2" s="120"/>
      <c r="G2" s="120"/>
      <c r="H2" s="120"/>
      <c r="I2" s="120"/>
      <c r="J2" s="120"/>
      <c r="K2" s="120"/>
      <c r="L2" s="120"/>
      <c r="M2" s="120"/>
      <c r="N2" s="120"/>
      <c r="O2" s="121"/>
    </row>
    <row r="3" spans="2:15">
      <c r="B3" s="134" t="s">
        <v>214</v>
      </c>
      <c r="C3" s="122">
        <v>0</v>
      </c>
      <c r="D3" s="123">
        <v>0</v>
      </c>
      <c r="E3" s="123">
        <v>0</v>
      </c>
      <c r="F3" s="123"/>
      <c r="G3" s="123"/>
      <c r="H3" s="123"/>
      <c r="I3" s="123"/>
      <c r="J3" s="123"/>
      <c r="K3" s="123"/>
      <c r="L3" s="123"/>
      <c r="M3" s="123"/>
      <c r="N3" s="123"/>
      <c r="O3" s="124"/>
    </row>
    <row r="4" spans="2:15">
      <c r="B4" s="135" t="s">
        <v>215</v>
      </c>
      <c r="C4" s="125">
        <v>0</v>
      </c>
      <c r="D4" s="84">
        <v>0</v>
      </c>
      <c r="E4" s="84">
        <v>0</v>
      </c>
      <c r="F4" s="84"/>
      <c r="G4" s="84"/>
      <c r="H4" s="84"/>
      <c r="I4" s="84"/>
      <c r="J4" s="84"/>
      <c r="K4" s="84"/>
      <c r="L4" s="84"/>
      <c r="M4" s="84"/>
      <c r="N4" s="84"/>
      <c r="O4" s="126"/>
    </row>
    <row r="5" spans="2:15">
      <c r="B5" s="135" t="s">
        <v>216</v>
      </c>
      <c r="C5" s="125">
        <v>0</v>
      </c>
      <c r="D5" s="84">
        <v>0</v>
      </c>
      <c r="E5" s="84">
        <v>0</v>
      </c>
      <c r="F5" s="84"/>
      <c r="G5" s="84"/>
      <c r="H5" s="84"/>
      <c r="I5" s="84"/>
      <c r="J5" s="84"/>
      <c r="K5" s="84"/>
      <c r="L5" s="84"/>
      <c r="M5" s="84"/>
      <c r="N5" s="84"/>
      <c r="O5" s="126"/>
    </row>
    <row r="6" spans="2:15">
      <c r="B6" s="135" t="s">
        <v>217</v>
      </c>
      <c r="C6" s="125">
        <v>0</v>
      </c>
      <c r="D6" s="84">
        <v>0</v>
      </c>
      <c r="E6" s="84">
        <v>0</v>
      </c>
      <c r="F6" s="84"/>
      <c r="G6" s="84"/>
      <c r="H6" s="84"/>
      <c r="I6" s="84"/>
      <c r="J6" s="84"/>
      <c r="K6" s="84"/>
      <c r="L6" s="84"/>
      <c r="M6" s="84"/>
      <c r="N6" s="84"/>
      <c r="O6" s="126"/>
    </row>
    <row r="7" spans="2:15">
      <c r="B7" s="135" t="s">
        <v>218</v>
      </c>
      <c r="C7" s="125">
        <v>0</v>
      </c>
      <c r="D7" s="84">
        <v>0</v>
      </c>
      <c r="E7" s="84">
        <v>0</v>
      </c>
      <c r="F7" s="84"/>
      <c r="G7" s="84"/>
      <c r="H7" s="84"/>
      <c r="I7" s="84"/>
      <c r="J7" s="84"/>
      <c r="K7" s="84"/>
      <c r="L7" s="84"/>
      <c r="M7" s="84"/>
      <c r="N7" s="84"/>
      <c r="O7" s="126"/>
    </row>
    <row r="8" spans="2:15">
      <c r="B8" s="135" t="s">
        <v>219</v>
      </c>
      <c r="C8" s="125">
        <v>0</v>
      </c>
      <c r="D8" s="84">
        <v>0</v>
      </c>
      <c r="E8" s="84">
        <v>0</v>
      </c>
      <c r="F8" s="84"/>
      <c r="G8" s="84"/>
      <c r="H8" s="84"/>
      <c r="I8" s="84"/>
      <c r="J8" s="84"/>
      <c r="K8" s="84"/>
      <c r="L8" s="84"/>
      <c r="M8" s="84"/>
      <c r="N8" s="84"/>
      <c r="O8" s="126"/>
    </row>
    <row r="9" spans="2:15">
      <c r="B9" s="135" t="s">
        <v>220</v>
      </c>
      <c r="C9" s="125">
        <v>0</v>
      </c>
      <c r="D9" s="84">
        <v>0</v>
      </c>
      <c r="E9" s="84">
        <v>0</v>
      </c>
      <c r="F9" s="84"/>
      <c r="G9" s="84"/>
      <c r="H9" s="84"/>
      <c r="I9" s="84"/>
      <c r="J9" s="84"/>
      <c r="K9" s="84"/>
      <c r="L9" s="84"/>
      <c r="M9" s="84"/>
      <c r="N9" s="84"/>
      <c r="O9" s="126"/>
    </row>
    <row r="10" spans="2:15">
      <c r="B10" s="135" t="s">
        <v>221</v>
      </c>
      <c r="C10" s="125">
        <v>0</v>
      </c>
      <c r="D10" s="84">
        <v>200</v>
      </c>
      <c r="E10" s="84">
        <v>5.0999999999999996</v>
      </c>
      <c r="F10" s="84"/>
      <c r="G10" s="84"/>
      <c r="H10" s="84"/>
      <c r="I10" s="84"/>
      <c r="J10" s="84"/>
      <c r="K10" s="84"/>
      <c r="L10" s="84"/>
      <c r="M10" s="84"/>
      <c r="N10" s="84"/>
      <c r="O10" s="126"/>
    </row>
    <row r="11" spans="2:15">
      <c r="B11" s="135" t="s">
        <v>222</v>
      </c>
      <c r="C11" s="125">
        <v>0</v>
      </c>
      <c r="D11" s="84">
        <v>200</v>
      </c>
      <c r="E11" s="84">
        <v>5.0999999999999996</v>
      </c>
      <c r="F11" s="84"/>
      <c r="G11" s="84"/>
      <c r="H11" s="84"/>
      <c r="I11" s="84"/>
      <c r="J11" s="84"/>
      <c r="K11" s="84"/>
      <c r="L11" s="84"/>
      <c r="M11" s="84"/>
      <c r="N11" s="84"/>
      <c r="O11" s="126"/>
    </row>
    <row r="12" spans="2:15">
      <c r="B12" s="135" t="s">
        <v>223</v>
      </c>
      <c r="C12" s="125">
        <v>0</v>
      </c>
      <c r="D12" s="84">
        <v>200</v>
      </c>
      <c r="E12" s="84">
        <v>5.0999999999999996</v>
      </c>
      <c r="F12" s="84"/>
      <c r="G12" s="84"/>
      <c r="H12" s="84"/>
      <c r="I12" s="84"/>
      <c r="J12" s="84"/>
      <c r="K12" s="84"/>
      <c r="L12" s="84"/>
      <c r="M12" s="84"/>
      <c r="N12" s="84"/>
      <c r="O12" s="126"/>
    </row>
    <row r="13" spans="2:15">
      <c r="B13" s="135" t="s">
        <v>224</v>
      </c>
      <c r="C13" s="125">
        <v>0</v>
      </c>
      <c r="D13" s="84">
        <v>200</v>
      </c>
      <c r="E13" s="84">
        <v>5.0999999999999996</v>
      </c>
      <c r="F13" s="84"/>
      <c r="G13" s="84"/>
      <c r="H13" s="84"/>
      <c r="I13" s="84"/>
      <c r="J13" s="84"/>
      <c r="K13" s="84"/>
      <c r="L13" s="84"/>
      <c r="M13" s="84"/>
      <c r="N13" s="84"/>
      <c r="O13" s="126"/>
    </row>
    <row r="14" spans="2:15">
      <c r="B14" s="135" t="s">
        <v>225</v>
      </c>
      <c r="C14" s="125">
        <v>0</v>
      </c>
      <c r="D14" s="84">
        <v>0</v>
      </c>
      <c r="E14" s="84">
        <v>0</v>
      </c>
      <c r="F14" s="84"/>
      <c r="G14" s="84"/>
      <c r="H14" s="84"/>
      <c r="I14" s="84"/>
      <c r="J14" s="84"/>
      <c r="K14" s="84"/>
      <c r="L14" s="84"/>
      <c r="M14" s="84"/>
      <c r="N14" s="84"/>
      <c r="O14" s="126"/>
    </row>
    <row r="15" spans="2:15">
      <c r="B15" s="135" t="s">
        <v>226</v>
      </c>
      <c r="C15" s="125">
        <v>0</v>
      </c>
      <c r="D15" s="84">
        <v>0</v>
      </c>
      <c r="E15" s="84">
        <v>0</v>
      </c>
      <c r="F15" s="84"/>
      <c r="G15" s="84"/>
      <c r="H15" s="84"/>
      <c r="I15" s="84"/>
      <c r="J15" s="84"/>
      <c r="K15" s="84"/>
      <c r="L15" s="84"/>
      <c r="M15" s="84"/>
      <c r="N15" s="84"/>
      <c r="O15" s="126"/>
    </row>
    <row r="16" spans="2:15">
      <c r="B16" s="135" t="s">
        <v>227</v>
      </c>
      <c r="C16" s="125">
        <v>0</v>
      </c>
      <c r="D16" s="84">
        <v>0</v>
      </c>
      <c r="E16" s="84">
        <v>0</v>
      </c>
      <c r="F16" s="84"/>
      <c r="G16" s="84"/>
      <c r="H16" s="84"/>
      <c r="I16" s="84"/>
      <c r="J16" s="84"/>
      <c r="K16" s="84"/>
      <c r="L16" s="84"/>
      <c r="M16" s="84"/>
      <c r="N16" s="84"/>
      <c r="O16" s="126"/>
    </row>
    <row r="17" spans="2:15">
      <c r="B17" s="135" t="s">
        <v>228</v>
      </c>
      <c r="C17" s="125">
        <v>0</v>
      </c>
      <c r="D17" s="84">
        <v>0</v>
      </c>
      <c r="E17" s="84">
        <v>0</v>
      </c>
      <c r="F17" s="84"/>
      <c r="G17" s="84"/>
      <c r="H17" s="84"/>
      <c r="I17" s="84"/>
      <c r="J17" s="84"/>
      <c r="K17" s="84"/>
      <c r="L17" s="84"/>
      <c r="M17" s="84"/>
      <c r="N17" s="84"/>
      <c r="O17" s="126"/>
    </row>
    <row r="18" spans="2:15">
      <c r="B18" s="135" t="s">
        <v>229</v>
      </c>
      <c r="C18" s="125">
        <v>0</v>
      </c>
      <c r="D18" s="84">
        <v>0</v>
      </c>
      <c r="E18" s="84">
        <v>0</v>
      </c>
      <c r="F18" s="84"/>
      <c r="G18" s="84"/>
      <c r="H18" s="84"/>
      <c r="I18" s="84"/>
      <c r="J18" s="84"/>
      <c r="K18" s="84"/>
      <c r="L18" s="84"/>
      <c r="M18" s="84"/>
      <c r="N18" s="84"/>
      <c r="O18" s="126"/>
    </row>
    <row r="19" spans="2:15">
      <c r="B19" s="135" t="s">
        <v>230</v>
      </c>
      <c r="C19" s="125">
        <v>0</v>
      </c>
      <c r="D19" s="84">
        <v>0</v>
      </c>
      <c r="E19" s="84">
        <v>0</v>
      </c>
      <c r="F19" s="84"/>
      <c r="G19" s="84"/>
      <c r="H19" s="84"/>
      <c r="I19" s="84"/>
      <c r="J19" s="84"/>
      <c r="K19" s="84"/>
      <c r="L19" s="84"/>
      <c r="M19" s="84"/>
      <c r="N19" s="84"/>
      <c r="O19" s="126"/>
    </row>
    <row r="20" spans="2:15">
      <c r="B20" s="135" t="s">
        <v>231</v>
      </c>
      <c r="C20" s="125">
        <v>0</v>
      </c>
      <c r="D20" s="84">
        <v>0</v>
      </c>
      <c r="E20" s="84">
        <v>0</v>
      </c>
      <c r="F20" s="84"/>
      <c r="G20" s="84"/>
      <c r="H20" s="84"/>
      <c r="I20" s="84"/>
      <c r="J20" s="84"/>
      <c r="K20" s="84"/>
      <c r="L20" s="84"/>
      <c r="M20" s="84"/>
      <c r="N20" s="84"/>
      <c r="O20" s="126"/>
    </row>
    <row r="21" spans="2:15">
      <c r="B21" s="135" t="s">
        <v>232</v>
      </c>
      <c r="C21" s="125">
        <v>0</v>
      </c>
      <c r="D21" s="84">
        <v>0</v>
      </c>
      <c r="E21" s="84">
        <v>0</v>
      </c>
      <c r="F21" s="84"/>
      <c r="G21" s="84"/>
      <c r="H21" s="84"/>
      <c r="I21" s="84"/>
      <c r="J21" s="84"/>
      <c r="K21" s="84"/>
      <c r="L21" s="84"/>
      <c r="M21" s="84"/>
      <c r="N21" s="84"/>
      <c r="O21" s="126"/>
    </row>
    <row r="22" spans="2:15">
      <c r="B22" s="135" t="s">
        <v>233</v>
      </c>
      <c r="C22" s="125">
        <v>0</v>
      </c>
      <c r="D22" s="84">
        <v>0</v>
      </c>
      <c r="E22" s="84">
        <v>0</v>
      </c>
      <c r="F22" s="84"/>
      <c r="G22" s="84"/>
      <c r="H22" s="84"/>
      <c r="I22" s="84"/>
      <c r="J22" s="84"/>
      <c r="K22" s="84"/>
      <c r="L22" s="84"/>
      <c r="M22" s="84"/>
      <c r="N22" s="84"/>
      <c r="O22" s="126"/>
    </row>
    <row r="23" spans="2:15">
      <c r="B23" s="135" t="s">
        <v>234</v>
      </c>
      <c r="C23" s="125">
        <v>0</v>
      </c>
      <c r="D23" s="84">
        <v>0</v>
      </c>
      <c r="E23" s="84">
        <v>0</v>
      </c>
      <c r="F23" s="84"/>
      <c r="G23" s="84"/>
      <c r="H23" s="84"/>
      <c r="I23" s="84"/>
      <c r="J23" s="84"/>
      <c r="K23" s="84"/>
      <c r="L23" s="84"/>
      <c r="M23" s="84"/>
      <c r="N23" s="84"/>
      <c r="O23" s="126"/>
    </row>
    <row r="24" spans="2:15">
      <c r="B24" s="135" t="s">
        <v>235</v>
      </c>
      <c r="C24" s="125">
        <v>0</v>
      </c>
      <c r="D24" s="84">
        <v>0</v>
      </c>
      <c r="E24" s="84">
        <v>0</v>
      </c>
      <c r="F24" s="84"/>
      <c r="G24" s="84"/>
      <c r="H24" s="84"/>
      <c r="I24" s="84"/>
      <c r="J24" s="84"/>
      <c r="K24" s="84"/>
      <c r="L24" s="84"/>
      <c r="M24" s="84"/>
      <c r="N24" s="84"/>
      <c r="O24" s="126"/>
    </row>
    <row r="25" spans="2:15">
      <c r="B25" s="135" t="s">
        <v>236</v>
      </c>
      <c r="C25" s="125">
        <v>0</v>
      </c>
      <c r="D25" s="84">
        <v>0</v>
      </c>
      <c r="E25" s="84">
        <v>0</v>
      </c>
      <c r="F25" s="84"/>
      <c r="G25" s="84"/>
      <c r="H25" s="84"/>
      <c r="I25" s="84"/>
      <c r="J25" s="84"/>
      <c r="K25" s="84"/>
      <c r="L25" s="84"/>
      <c r="M25" s="84"/>
      <c r="N25" s="84"/>
      <c r="O25" s="126"/>
    </row>
    <row r="26" spans="2:15">
      <c r="B26" s="135" t="s">
        <v>237</v>
      </c>
      <c r="C26" s="125">
        <v>0</v>
      </c>
      <c r="D26" s="84">
        <v>0</v>
      </c>
      <c r="E26" s="84">
        <v>0</v>
      </c>
      <c r="F26" s="84"/>
      <c r="G26" s="84"/>
      <c r="H26" s="84"/>
      <c r="I26" s="84"/>
      <c r="J26" s="84"/>
      <c r="K26" s="84"/>
      <c r="L26" s="84"/>
      <c r="M26" s="84"/>
      <c r="N26" s="84"/>
      <c r="O26" s="126"/>
    </row>
    <row r="27" spans="2:15">
      <c r="B27" s="135" t="s">
        <v>238</v>
      </c>
      <c r="C27" s="125">
        <v>0</v>
      </c>
      <c r="D27" s="84">
        <v>0</v>
      </c>
      <c r="E27" s="84">
        <v>0</v>
      </c>
      <c r="F27" s="84"/>
      <c r="G27" s="84"/>
      <c r="H27" s="84"/>
      <c r="I27" s="84"/>
      <c r="J27" s="84"/>
      <c r="K27" s="84"/>
      <c r="L27" s="84"/>
      <c r="M27" s="84"/>
      <c r="N27" s="84"/>
      <c r="O27" s="126"/>
    </row>
    <row r="28" spans="2:15">
      <c r="B28" s="135" t="s">
        <v>239</v>
      </c>
      <c r="C28" s="125">
        <v>0</v>
      </c>
      <c r="D28" s="84">
        <v>0</v>
      </c>
      <c r="E28" s="84">
        <v>0</v>
      </c>
      <c r="F28" s="84"/>
      <c r="G28" s="84"/>
      <c r="H28" s="84"/>
      <c r="I28" s="84"/>
      <c r="J28" s="84"/>
      <c r="K28" s="84"/>
      <c r="L28" s="84"/>
      <c r="M28" s="84"/>
      <c r="N28" s="84"/>
      <c r="O28" s="126"/>
    </row>
    <row r="29" spans="2:15">
      <c r="B29" s="135" t="s">
        <v>240</v>
      </c>
      <c r="C29" s="125">
        <v>0</v>
      </c>
      <c r="D29" s="84">
        <v>0</v>
      </c>
      <c r="E29" s="84">
        <v>0</v>
      </c>
      <c r="F29" s="84"/>
      <c r="G29" s="84"/>
      <c r="H29" s="84"/>
      <c r="I29" s="84"/>
      <c r="J29" s="84"/>
      <c r="K29" s="84"/>
      <c r="L29" s="84"/>
      <c r="M29" s="84"/>
      <c r="N29" s="84"/>
      <c r="O29" s="126"/>
    </row>
    <row r="30" spans="2:15">
      <c r="B30" s="135" t="s">
        <v>241</v>
      </c>
      <c r="C30" s="125">
        <v>0</v>
      </c>
      <c r="D30" s="84">
        <v>0</v>
      </c>
      <c r="E30" s="84">
        <v>0</v>
      </c>
      <c r="F30" s="84"/>
      <c r="G30" s="84"/>
      <c r="H30" s="84"/>
      <c r="I30" s="84"/>
      <c r="J30" s="84"/>
      <c r="K30" s="84"/>
      <c r="L30" s="84"/>
      <c r="M30" s="84"/>
      <c r="N30" s="84"/>
      <c r="O30" s="126"/>
    </row>
    <row r="31" spans="2:15">
      <c r="B31" s="136" t="s">
        <v>242</v>
      </c>
      <c r="C31" s="129">
        <v>0</v>
      </c>
      <c r="D31" s="114">
        <v>0</v>
      </c>
      <c r="E31" s="114">
        <v>0</v>
      </c>
      <c r="F31" s="114"/>
      <c r="G31" s="114"/>
      <c r="H31" s="114"/>
      <c r="I31" s="114"/>
      <c r="J31" s="114"/>
      <c r="K31" s="114"/>
      <c r="L31" s="114"/>
      <c r="M31" s="114"/>
      <c r="N31" s="114"/>
      <c r="O31" s="130"/>
    </row>
    <row r="32" spans="2:15">
      <c r="B32" s="91"/>
      <c r="C32" s="91"/>
      <c r="D32" s="91"/>
      <c r="E32" s="91"/>
      <c r="F32" s="91"/>
      <c r="G32" s="91"/>
      <c r="H32" s="91"/>
      <c r="I32" s="91"/>
      <c r="J32" s="91"/>
      <c r="K32" s="91"/>
      <c r="L32" s="91"/>
      <c r="M32" s="91"/>
      <c r="N32" s="91"/>
      <c r="O32" s="9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32"/>
  <sheetViews>
    <sheetView workbookViewId="0">
      <selection activeCell="O24" sqref="O24"/>
    </sheetView>
  </sheetViews>
  <sheetFormatPr baseColWidth="10" defaultRowHeight="1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row r="2" spans="2:13" ht="46.5" customHeight="1" thickBot="1">
      <c r="B2" s="105" t="s">
        <v>252</v>
      </c>
      <c r="C2" s="106" t="s">
        <v>245</v>
      </c>
      <c r="D2" s="107" t="s">
        <v>246</v>
      </c>
      <c r="E2" s="107" t="s">
        <v>248</v>
      </c>
      <c r="F2" s="107" t="s">
        <v>247</v>
      </c>
      <c r="G2" s="107" t="s">
        <v>243</v>
      </c>
      <c r="H2" s="107" t="s">
        <v>244</v>
      </c>
      <c r="I2" s="107" t="s">
        <v>249</v>
      </c>
      <c r="J2" s="107" t="s">
        <v>250</v>
      </c>
      <c r="K2" s="107" t="s">
        <v>251</v>
      </c>
      <c r="L2" s="131" t="s">
        <v>262</v>
      </c>
      <c r="M2" s="108" t="s">
        <v>213</v>
      </c>
    </row>
    <row r="3" spans="2:13">
      <c r="B3" s="109" t="s">
        <v>214</v>
      </c>
      <c r="C3" s="102">
        <v>4.0280000000000003E-2</v>
      </c>
      <c r="D3" s="100">
        <v>800</v>
      </c>
      <c r="E3" s="100"/>
      <c r="F3" s="100">
        <v>5.1999999999999998E-3</v>
      </c>
      <c r="G3" s="100">
        <v>0.8</v>
      </c>
      <c r="H3" s="100">
        <v>0.8</v>
      </c>
      <c r="I3" s="100">
        <v>1</v>
      </c>
      <c r="J3" s="100">
        <v>0</v>
      </c>
      <c r="K3" s="100">
        <v>0</v>
      </c>
      <c r="L3" s="100">
        <v>1</v>
      </c>
      <c r="M3" s="101"/>
    </row>
    <row r="4" spans="2:13">
      <c r="B4" s="110" t="s">
        <v>215</v>
      </c>
      <c r="C4" s="103">
        <v>4.0280000000000003E-2</v>
      </c>
      <c r="D4" s="96">
        <v>800</v>
      </c>
      <c r="E4" s="96"/>
      <c r="F4" s="96">
        <v>5.1999999999999998E-3</v>
      </c>
      <c r="G4" s="96">
        <v>0.8</v>
      </c>
      <c r="H4" s="96">
        <v>0.8</v>
      </c>
      <c r="I4" s="96">
        <v>-1</v>
      </c>
      <c r="J4" s="96">
        <v>0</v>
      </c>
      <c r="K4" s="96">
        <v>0</v>
      </c>
      <c r="L4" s="96">
        <v>1</v>
      </c>
      <c r="M4" s="98"/>
    </row>
    <row r="5" spans="2:13">
      <c r="B5" s="110" t="s">
        <v>216</v>
      </c>
      <c r="C5" s="103">
        <v>7.2909999999999997E-3</v>
      </c>
      <c r="D5" s="96">
        <v>800</v>
      </c>
      <c r="E5" s="96"/>
      <c r="F5" s="96">
        <v>2.0999999999999999E-3</v>
      </c>
      <c r="G5" s="96">
        <v>0.8</v>
      </c>
      <c r="H5" s="96">
        <v>0.8</v>
      </c>
      <c r="I5" s="96">
        <v>0</v>
      </c>
      <c r="J5" s="96">
        <v>-1</v>
      </c>
      <c r="K5" s="96">
        <v>1</v>
      </c>
      <c r="L5" s="96">
        <v>1</v>
      </c>
      <c r="M5" s="98"/>
    </row>
    <row r="6" spans="2:13">
      <c r="B6" s="110" t="s">
        <v>217</v>
      </c>
      <c r="C6" s="103">
        <v>7.2909999999999997E-3</v>
      </c>
      <c r="D6" s="96">
        <v>800</v>
      </c>
      <c r="E6" s="96"/>
      <c r="F6" s="96">
        <v>2.0999999999999999E-3</v>
      </c>
      <c r="G6" s="96">
        <v>0.8</v>
      </c>
      <c r="H6" s="96">
        <v>0.8</v>
      </c>
      <c r="I6" s="96">
        <v>0</v>
      </c>
      <c r="J6" s="96">
        <v>1</v>
      </c>
      <c r="K6" s="96">
        <v>1</v>
      </c>
      <c r="L6" s="96">
        <v>1</v>
      </c>
      <c r="M6" s="98"/>
    </row>
    <row r="7" spans="2:13">
      <c r="B7" s="110" t="s">
        <v>218</v>
      </c>
      <c r="C7" s="103">
        <v>6.4250000000000002E-3</v>
      </c>
      <c r="D7" s="96">
        <v>800</v>
      </c>
      <c r="E7" s="96"/>
      <c r="F7" s="96">
        <v>2.0999999999999999E-3</v>
      </c>
      <c r="G7" s="96">
        <v>0.8</v>
      </c>
      <c r="H7" s="96">
        <v>0.8</v>
      </c>
      <c r="I7" s="96">
        <v>0</v>
      </c>
      <c r="J7" s="96">
        <v>1</v>
      </c>
      <c r="K7" s="96">
        <v>-1</v>
      </c>
      <c r="L7" s="96">
        <v>1</v>
      </c>
      <c r="M7" s="98"/>
    </row>
    <row r="8" spans="2:13">
      <c r="B8" s="110" t="s">
        <v>219</v>
      </c>
      <c r="C8" s="103">
        <v>6.4250000000000002E-3</v>
      </c>
      <c r="D8" s="96">
        <v>800</v>
      </c>
      <c r="E8" s="96"/>
      <c r="F8" s="96">
        <v>2.0999999999999999E-3</v>
      </c>
      <c r="G8" s="96">
        <v>0.8</v>
      </c>
      <c r="H8" s="96">
        <v>0.8</v>
      </c>
      <c r="I8" s="96">
        <v>0</v>
      </c>
      <c r="J8" s="96">
        <v>-1</v>
      </c>
      <c r="K8" s="96">
        <v>-1</v>
      </c>
      <c r="L8" s="96">
        <v>1</v>
      </c>
      <c r="M8" s="98"/>
    </row>
    <row r="9" spans="2:13">
      <c r="B9" s="110" t="s">
        <v>220</v>
      </c>
      <c r="C9" s="103">
        <v>2.1919999999999999E-2</v>
      </c>
      <c r="D9" s="96">
        <v>800</v>
      </c>
      <c r="E9" s="96"/>
      <c r="F9" s="96">
        <v>9.5999999999999992E-3</v>
      </c>
      <c r="G9" s="96">
        <v>0.8</v>
      </c>
      <c r="H9" s="96">
        <v>0.8</v>
      </c>
      <c r="I9" s="96">
        <v>0</v>
      </c>
      <c r="J9" s="96">
        <v>0</v>
      </c>
      <c r="K9" s="96">
        <v>1</v>
      </c>
      <c r="L9" s="96">
        <v>1</v>
      </c>
      <c r="M9" s="98"/>
    </row>
    <row r="10" spans="2:13">
      <c r="B10" s="110" t="s">
        <v>221</v>
      </c>
      <c r="C10" s="103">
        <v>1.8E-3</v>
      </c>
      <c r="D10" s="96">
        <v>800</v>
      </c>
      <c r="E10" s="96"/>
      <c r="F10" s="96">
        <v>5.7600000000000001E-4</v>
      </c>
      <c r="G10" s="96">
        <v>0.8</v>
      </c>
      <c r="H10" s="96">
        <v>0.8</v>
      </c>
      <c r="I10" s="96">
        <v>0</v>
      </c>
      <c r="J10" s="96">
        <v>0</v>
      </c>
      <c r="K10" s="96">
        <v>1</v>
      </c>
      <c r="L10" s="96">
        <v>1</v>
      </c>
      <c r="M10" s="98"/>
    </row>
    <row r="11" spans="2:13">
      <c r="B11" s="110" t="s">
        <v>222</v>
      </c>
      <c r="C11" s="103">
        <v>1.8E-3</v>
      </c>
      <c r="D11" s="96">
        <v>800</v>
      </c>
      <c r="E11" s="96"/>
      <c r="F11" s="96">
        <v>5.7600000000000001E-4</v>
      </c>
      <c r="G11" s="96">
        <v>0.8</v>
      </c>
      <c r="H11" s="96">
        <v>0.8</v>
      </c>
      <c r="I11" s="96">
        <v>0</v>
      </c>
      <c r="J11" s="96">
        <v>0</v>
      </c>
      <c r="K11" s="96">
        <v>1</v>
      </c>
      <c r="L11" s="96">
        <v>1</v>
      </c>
      <c r="M11" s="98"/>
    </row>
    <row r="12" spans="2:13">
      <c r="B12" s="110" t="s">
        <v>223</v>
      </c>
      <c r="C12" s="103">
        <v>1.8E-3</v>
      </c>
      <c r="D12" s="96">
        <v>800</v>
      </c>
      <c r="E12" s="96"/>
      <c r="F12" s="96">
        <v>5.7600000000000001E-4</v>
      </c>
      <c r="G12" s="96">
        <v>0.8</v>
      </c>
      <c r="H12" s="96">
        <v>0.8</v>
      </c>
      <c r="I12" s="96">
        <v>0</v>
      </c>
      <c r="J12" s="96">
        <v>0</v>
      </c>
      <c r="K12" s="96">
        <v>1</v>
      </c>
      <c r="L12" s="96">
        <v>1</v>
      </c>
      <c r="M12" s="98"/>
    </row>
    <row r="13" spans="2:13">
      <c r="B13" s="110" t="s">
        <v>224</v>
      </c>
      <c r="C13" s="103">
        <v>1.8E-3</v>
      </c>
      <c r="D13" s="96">
        <v>800</v>
      </c>
      <c r="E13" s="96"/>
      <c r="F13" s="96">
        <v>5.7600000000000001E-4</v>
      </c>
      <c r="G13" s="96">
        <v>0.8</v>
      </c>
      <c r="H13" s="96">
        <v>0.8</v>
      </c>
      <c r="I13" s="96">
        <v>0</v>
      </c>
      <c r="J13" s="96">
        <v>0</v>
      </c>
      <c r="K13" s="96">
        <v>1</v>
      </c>
      <c r="L13" s="96">
        <v>1</v>
      </c>
      <c r="M13" s="98"/>
    </row>
    <row r="14" spans="2:13">
      <c r="B14" s="110" t="s">
        <v>225</v>
      </c>
      <c r="C14" s="103">
        <v>2.375E-2</v>
      </c>
      <c r="D14" s="96">
        <v>600</v>
      </c>
      <c r="E14" s="96"/>
      <c r="F14" s="96">
        <v>0.01</v>
      </c>
      <c r="G14" s="96"/>
      <c r="H14" s="96"/>
      <c r="I14" s="96"/>
      <c r="J14" s="96"/>
      <c r="K14" s="96"/>
      <c r="L14" s="96">
        <v>0</v>
      </c>
      <c r="M14" s="98"/>
    </row>
    <row r="15" spans="2:13">
      <c r="B15" s="110" t="s">
        <v>226</v>
      </c>
      <c r="C15" s="103">
        <v>0.125</v>
      </c>
      <c r="D15" s="96">
        <v>800</v>
      </c>
      <c r="E15" s="96"/>
      <c r="F15" s="96">
        <v>0.01</v>
      </c>
      <c r="G15" s="96"/>
      <c r="H15" s="96"/>
      <c r="I15" s="96"/>
      <c r="J15" s="96"/>
      <c r="K15" s="96"/>
      <c r="L15" s="96">
        <v>0</v>
      </c>
      <c r="M15" s="98"/>
    </row>
    <row r="16" spans="2:13">
      <c r="B16" s="110" t="s">
        <v>227</v>
      </c>
      <c r="C16" s="103">
        <v>3.9E-2</v>
      </c>
      <c r="D16" s="96">
        <v>600</v>
      </c>
      <c r="E16" s="96"/>
      <c r="F16" s="96">
        <v>0.01</v>
      </c>
      <c r="G16" s="96"/>
      <c r="H16" s="96"/>
      <c r="I16" s="96"/>
      <c r="J16" s="96"/>
      <c r="K16" s="96"/>
      <c r="L16" s="96">
        <v>0</v>
      </c>
      <c r="M16" s="98"/>
    </row>
    <row r="17" spans="2:13">
      <c r="B17" s="110" t="s">
        <v>228</v>
      </c>
      <c r="C17" s="103">
        <v>3.9E-2</v>
      </c>
      <c r="D17" s="96">
        <v>600</v>
      </c>
      <c r="E17" s="96"/>
      <c r="F17" s="96">
        <v>0.1</v>
      </c>
      <c r="G17" s="96"/>
      <c r="H17" s="96"/>
      <c r="I17" s="96"/>
      <c r="J17" s="96"/>
      <c r="K17" s="96"/>
      <c r="L17" s="96">
        <v>0</v>
      </c>
      <c r="M17" s="98"/>
    </row>
    <row r="18" spans="2:13">
      <c r="B18" s="110" t="s">
        <v>229</v>
      </c>
      <c r="C18" s="103">
        <v>3.9E-2</v>
      </c>
      <c r="D18" s="96">
        <v>600</v>
      </c>
      <c r="E18" s="96"/>
      <c r="F18" s="96">
        <v>0.1</v>
      </c>
      <c r="G18" s="96"/>
      <c r="H18" s="96"/>
      <c r="I18" s="96"/>
      <c r="J18" s="96"/>
      <c r="K18" s="96"/>
      <c r="L18" s="96">
        <v>0</v>
      </c>
      <c r="M18" s="98"/>
    </row>
    <row r="19" spans="2:13">
      <c r="B19" s="110" t="s">
        <v>230</v>
      </c>
      <c r="C19" s="103">
        <v>3.9E-2</v>
      </c>
      <c r="D19" s="96">
        <v>600</v>
      </c>
      <c r="E19" s="96"/>
      <c r="F19" s="96">
        <v>0.1</v>
      </c>
      <c r="G19" s="96"/>
      <c r="H19" s="96"/>
      <c r="I19" s="96"/>
      <c r="J19" s="96"/>
      <c r="K19" s="96"/>
      <c r="L19" s="96">
        <v>0</v>
      </c>
      <c r="M19" s="98"/>
    </row>
    <row r="20" spans="2:13">
      <c r="B20" s="110" t="s">
        <v>231</v>
      </c>
      <c r="C20" s="103">
        <v>0.05</v>
      </c>
      <c r="D20" s="96">
        <v>600</v>
      </c>
      <c r="E20" s="96"/>
      <c r="F20" s="96">
        <v>0.1</v>
      </c>
      <c r="G20" s="96"/>
      <c r="H20" s="96"/>
      <c r="I20" s="96"/>
      <c r="J20" s="96"/>
      <c r="K20" s="96"/>
      <c r="L20" s="96">
        <v>0</v>
      </c>
      <c r="M20" s="98"/>
    </row>
    <row r="21" spans="2:13">
      <c r="B21" s="110" t="s">
        <v>232</v>
      </c>
      <c r="C21" s="103">
        <v>0.05</v>
      </c>
      <c r="D21" s="96">
        <v>600</v>
      </c>
      <c r="E21" s="96"/>
      <c r="F21" s="96">
        <v>0.1</v>
      </c>
      <c r="G21" s="96"/>
      <c r="H21" s="96"/>
      <c r="I21" s="96"/>
      <c r="J21" s="96"/>
      <c r="K21" s="96"/>
      <c r="L21" s="96">
        <v>0</v>
      </c>
      <c r="M21" s="98"/>
    </row>
    <row r="22" spans="2:13">
      <c r="B22" s="110" t="s">
        <v>233</v>
      </c>
      <c r="C22" s="103">
        <v>3.8490000000000003E-2</v>
      </c>
      <c r="D22" s="96">
        <v>600</v>
      </c>
      <c r="E22" s="96"/>
      <c r="F22" s="96">
        <v>8.6E-3</v>
      </c>
      <c r="G22" s="96"/>
      <c r="H22" s="96"/>
      <c r="I22" s="96"/>
      <c r="J22" s="96"/>
      <c r="K22" s="96"/>
      <c r="L22" s="96">
        <v>0</v>
      </c>
      <c r="M22" s="98"/>
    </row>
    <row r="23" spans="2:13">
      <c r="B23" s="110" t="s">
        <v>234</v>
      </c>
      <c r="C23" s="103">
        <v>7.4999999999999997E-2</v>
      </c>
      <c r="D23" s="96">
        <v>600</v>
      </c>
      <c r="E23" s="96"/>
      <c r="F23" s="96">
        <v>8.6E-3</v>
      </c>
      <c r="G23" s="96"/>
      <c r="H23" s="96"/>
      <c r="I23" s="96"/>
      <c r="J23" s="96"/>
      <c r="K23" s="96"/>
      <c r="L23" s="96">
        <v>0</v>
      </c>
      <c r="M23" s="98"/>
    </row>
    <row r="24" spans="2:13">
      <c r="B24" s="110" t="s">
        <v>235</v>
      </c>
      <c r="C24" s="103">
        <v>8.5000000000000006E-2</v>
      </c>
      <c r="D24" s="96">
        <v>600</v>
      </c>
      <c r="E24" s="96">
        <v>15</v>
      </c>
      <c r="F24" s="96">
        <v>0.08</v>
      </c>
      <c r="G24" s="96"/>
      <c r="H24" s="96"/>
      <c r="I24" s="96"/>
      <c r="J24" s="96"/>
      <c r="K24" s="96"/>
      <c r="L24" s="96">
        <v>0</v>
      </c>
      <c r="M24" s="98">
        <v>0.7</v>
      </c>
    </row>
    <row r="25" spans="2:13">
      <c r="B25" s="110" t="s">
        <v>236</v>
      </c>
      <c r="C25" s="103">
        <v>2.4E-2</v>
      </c>
      <c r="D25" s="96">
        <v>600</v>
      </c>
      <c r="E25" s="96"/>
      <c r="F25" s="96">
        <v>0.33</v>
      </c>
      <c r="G25" s="96"/>
      <c r="H25" s="96"/>
      <c r="I25" s="96"/>
      <c r="J25" s="96"/>
      <c r="K25" s="96"/>
      <c r="L25" s="96">
        <v>0</v>
      </c>
      <c r="M25" s="98"/>
    </row>
    <row r="26" spans="2:13">
      <c r="B26" s="110" t="s">
        <v>237</v>
      </c>
      <c r="C26" s="103">
        <v>5.2999999999999999E-2</v>
      </c>
      <c r="D26" s="96">
        <v>600</v>
      </c>
      <c r="E26" s="96">
        <v>15</v>
      </c>
      <c r="F26" s="96">
        <v>8.0940000000000005E-3</v>
      </c>
      <c r="G26" s="96">
        <v>0.8</v>
      </c>
      <c r="H26" s="96">
        <v>0.8</v>
      </c>
      <c r="I26" s="96">
        <v>0</v>
      </c>
      <c r="J26" s="96">
        <v>1</v>
      </c>
      <c r="K26" s="96">
        <v>0</v>
      </c>
      <c r="L26" s="96">
        <v>1</v>
      </c>
      <c r="M26" s="98">
        <v>2.2000000000000001E-3</v>
      </c>
    </row>
    <row r="27" spans="2:13">
      <c r="B27" s="110" t="s">
        <v>238</v>
      </c>
      <c r="C27" s="103">
        <v>4.3999999999999997E-2</v>
      </c>
      <c r="D27" s="96">
        <v>600</v>
      </c>
      <c r="E27" s="96">
        <v>15</v>
      </c>
      <c r="F27" s="96">
        <v>8.0940000000000005E-3</v>
      </c>
      <c r="G27" s="96">
        <v>0.8</v>
      </c>
      <c r="H27" s="96">
        <v>0.8</v>
      </c>
      <c r="I27" s="96">
        <v>0</v>
      </c>
      <c r="J27" s="96">
        <v>-1</v>
      </c>
      <c r="K27" s="96">
        <v>0</v>
      </c>
      <c r="L27" s="96">
        <v>1</v>
      </c>
      <c r="M27" s="98">
        <v>2.2000000000000001E-3</v>
      </c>
    </row>
    <row r="28" spans="2:13">
      <c r="B28" s="110" t="s">
        <v>239</v>
      </c>
      <c r="C28" s="103">
        <v>4.4999999999999998E-2</v>
      </c>
      <c r="D28" s="96">
        <v>600</v>
      </c>
      <c r="E28" s="96">
        <v>15</v>
      </c>
      <c r="F28" s="96">
        <v>8.0940000000000005E-3</v>
      </c>
      <c r="G28" s="96">
        <v>0.8</v>
      </c>
      <c r="H28" s="96">
        <v>0.8</v>
      </c>
      <c r="I28" s="96">
        <v>1</v>
      </c>
      <c r="J28" s="96">
        <v>0</v>
      </c>
      <c r="K28" s="96">
        <v>0</v>
      </c>
      <c r="L28" s="96">
        <v>1</v>
      </c>
      <c r="M28" s="98">
        <v>2.2000000000000001E-3</v>
      </c>
    </row>
    <row r="29" spans="2:13">
      <c r="B29" s="110" t="s">
        <v>240</v>
      </c>
      <c r="C29" s="103">
        <v>5.2999999999999999E-2</v>
      </c>
      <c r="D29" s="96">
        <v>600</v>
      </c>
      <c r="E29" s="96">
        <v>15</v>
      </c>
      <c r="F29" s="96">
        <v>8.0940000000000005E-3</v>
      </c>
      <c r="G29" s="96">
        <v>0.8</v>
      </c>
      <c r="H29" s="96">
        <v>0.8</v>
      </c>
      <c r="I29" s="96">
        <v>-1</v>
      </c>
      <c r="J29" s="96">
        <v>0</v>
      </c>
      <c r="K29" s="96">
        <v>0</v>
      </c>
      <c r="L29" s="96">
        <v>1</v>
      </c>
      <c r="M29" s="98">
        <v>2.2000000000000001E-3</v>
      </c>
    </row>
    <row r="30" spans="2:13">
      <c r="B30" s="110" t="s">
        <v>241</v>
      </c>
      <c r="C30" s="103">
        <v>5.7500000000000002E-2</v>
      </c>
      <c r="D30" s="96">
        <v>600</v>
      </c>
      <c r="E30" s="96">
        <v>15</v>
      </c>
      <c r="F30" s="96">
        <v>8.4469999999999996E-3</v>
      </c>
      <c r="G30" s="96">
        <v>0.8</v>
      </c>
      <c r="H30" s="96">
        <v>0.8</v>
      </c>
      <c r="I30" s="96">
        <v>0</v>
      </c>
      <c r="J30" s="96">
        <v>0</v>
      </c>
      <c r="K30" s="96">
        <v>-1</v>
      </c>
      <c r="L30" s="96">
        <v>1</v>
      </c>
      <c r="M30" s="98">
        <v>2.2000000000000001E-3</v>
      </c>
    </row>
    <row r="31" spans="2:13" ht="15.75" thickBot="1">
      <c r="B31" s="111" t="s">
        <v>242</v>
      </c>
      <c r="C31" s="104">
        <v>0.04</v>
      </c>
      <c r="D31" s="97">
        <v>600</v>
      </c>
      <c r="E31" s="97"/>
      <c r="F31" s="97">
        <v>0.01</v>
      </c>
      <c r="G31" s="97"/>
      <c r="H31" s="97"/>
      <c r="I31" s="97"/>
      <c r="J31" s="97"/>
      <c r="K31" s="97"/>
      <c r="L31" s="97">
        <v>0</v>
      </c>
      <c r="M31" s="99"/>
    </row>
    <row r="32" spans="2:13">
      <c r="B32" s="8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workbookViewId="0">
      <pane xSplit="1" ySplit="4" topLeftCell="B5" activePane="bottomRight" state="frozen"/>
      <selection pane="topRight" activeCell="B1" sqref="B1"/>
      <selection pane="bottomLeft" activeCell="A5" sqref="A5"/>
      <selection pane="bottomRight" activeCell="V29" sqref="V29"/>
    </sheetView>
  </sheetViews>
  <sheetFormatPr baseColWidth="10" defaultColWidth="14.42578125" defaultRowHeight="15" customHeight="1"/>
  <cols>
    <col min="1" max="1" width="20.42578125" customWidth="1"/>
    <col min="2" max="10" width="7" customWidth="1"/>
    <col min="11"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c r="A4" s="22" t="s">
        <v>145</v>
      </c>
      <c r="B4" s="23" t="s">
        <v>25</v>
      </c>
      <c r="C4" s="23" t="s">
        <v>32</v>
      </c>
      <c r="D4" s="23" t="s">
        <v>36</v>
      </c>
      <c r="E4" s="23" t="s">
        <v>41</v>
      </c>
      <c r="F4" s="23" t="s">
        <v>46</v>
      </c>
      <c r="G4" s="23" t="s">
        <v>51</v>
      </c>
      <c r="H4" s="23" t="s">
        <v>56</v>
      </c>
      <c r="I4" s="23" t="s">
        <v>61</v>
      </c>
      <c r="J4" s="23" t="s">
        <v>67</v>
      </c>
      <c r="K4" s="23" t="s">
        <v>69</v>
      </c>
      <c r="L4" s="23" t="s">
        <v>71</v>
      </c>
      <c r="M4" s="23" t="s">
        <v>73</v>
      </c>
      <c r="N4" s="23" t="s">
        <v>78</v>
      </c>
      <c r="O4" s="23" t="s">
        <v>83</v>
      </c>
      <c r="P4" s="23" t="s">
        <v>87</v>
      </c>
      <c r="Q4" s="23" t="s">
        <v>89</v>
      </c>
      <c r="R4" s="23" t="s">
        <v>91</v>
      </c>
      <c r="S4" s="23" t="s">
        <v>93</v>
      </c>
      <c r="T4" s="23" t="s">
        <v>97</v>
      </c>
      <c r="U4" s="23" t="s">
        <v>99</v>
      </c>
      <c r="V4" s="23" t="s">
        <v>103</v>
      </c>
      <c r="W4" s="23" t="s">
        <v>107</v>
      </c>
      <c r="X4" s="23" t="s">
        <v>112</v>
      </c>
      <c r="Y4" s="23" t="s">
        <v>116</v>
      </c>
      <c r="Z4" s="23" t="s">
        <v>122</v>
      </c>
      <c r="AA4" s="23" t="s">
        <v>127</v>
      </c>
      <c r="AB4" s="23" t="s">
        <v>131</v>
      </c>
      <c r="AC4" s="23" t="s">
        <v>134</v>
      </c>
      <c r="AD4" s="23" t="s">
        <v>139</v>
      </c>
    </row>
    <row r="5" spans="1:30">
      <c r="A5" s="22" t="s">
        <v>25</v>
      </c>
      <c r="B5" s="24">
        <v>0</v>
      </c>
      <c r="C5" s="25">
        <v>0</v>
      </c>
      <c r="D5" s="26">
        <f>'Conductances determination'!$B$18</f>
        <v>0.37037037037037035</v>
      </c>
      <c r="E5" s="26">
        <f>'Conductances determination'!$B$18</f>
        <v>0.37037037037037035</v>
      </c>
      <c r="F5" s="26">
        <f>'Conductances determination'!$B$18</f>
        <v>0.37037037037037035</v>
      </c>
      <c r="G5" s="26">
        <f>'Conductances determination'!$B$18</f>
        <v>0.37037037037037035</v>
      </c>
      <c r="H5" s="26">
        <f>'Conductances determination'!$B$25</f>
        <v>0.24262</v>
      </c>
      <c r="I5" s="25">
        <v>0</v>
      </c>
      <c r="J5" s="25">
        <v>0</v>
      </c>
      <c r="K5" s="25">
        <v>0</v>
      </c>
      <c r="L5" s="25">
        <v>0</v>
      </c>
      <c r="M5" s="25">
        <v>0</v>
      </c>
      <c r="N5" s="25">
        <v>0</v>
      </c>
      <c r="O5" s="25">
        <v>0</v>
      </c>
      <c r="P5" s="25">
        <v>0</v>
      </c>
      <c r="Q5" s="25">
        <v>0</v>
      </c>
      <c r="R5" s="25">
        <v>0</v>
      </c>
      <c r="S5" s="25">
        <v>0</v>
      </c>
      <c r="T5" s="25">
        <v>0</v>
      </c>
      <c r="U5" s="25">
        <v>0</v>
      </c>
      <c r="V5" s="25">
        <v>0</v>
      </c>
      <c r="W5" s="26">
        <f>'Conductances determination'!$B$25</f>
        <v>0.24262</v>
      </c>
      <c r="X5" s="25">
        <v>0</v>
      </c>
      <c r="Y5" s="26">
        <v>0</v>
      </c>
      <c r="Z5" s="26">
        <v>0</v>
      </c>
      <c r="AA5" s="26">
        <f>'Conductances determination'!$B$37</f>
        <v>0.3673094582185491</v>
      </c>
      <c r="AB5" s="25">
        <v>0</v>
      </c>
      <c r="AC5" s="26">
        <v>0</v>
      </c>
      <c r="AD5" s="26">
        <v>0</v>
      </c>
    </row>
    <row r="6" spans="1:30">
      <c r="A6" s="22" t="s">
        <v>32</v>
      </c>
      <c r="B6" s="27">
        <f>C5</f>
        <v>0</v>
      </c>
      <c r="C6" s="24">
        <v>0</v>
      </c>
      <c r="D6" s="26">
        <f>'Conductances determination'!$B$18</f>
        <v>0.37037037037037035</v>
      </c>
      <c r="E6" s="26">
        <f>'Conductances determination'!$B$18</f>
        <v>0.37037037037037035</v>
      </c>
      <c r="F6" s="26">
        <f>'Conductances determination'!$B$18</f>
        <v>0.37037037037037035</v>
      </c>
      <c r="G6" s="26">
        <f>'Conductances determination'!$B$18</f>
        <v>0.37037037037037035</v>
      </c>
      <c r="H6" s="26">
        <f>'Conductances determination'!$B$25</f>
        <v>0.24262</v>
      </c>
      <c r="I6" s="25">
        <v>0</v>
      </c>
      <c r="J6" s="25">
        <v>0</v>
      </c>
      <c r="K6" s="25">
        <v>0</v>
      </c>
      <c r="L6" s="25">
        <v>0</v>
      </c>
      <c r="M6" s="25">
        <v>0</v>
      </c>
      <c r="N6" s="25">
        <v>0</v>
      </c>
      <c r="O6" s="25">
        <v>0</v>
      </c>
      <c r="P6" s="25">
        <v>0</v>
      </c>
      <c r="Q6" s="25">
        <v>0</v>
      </c>
      <c r="R6" s="25">
        <v>0</v>
      </c>
      <c r="S6" s="25">
        <v>0</v>
      </c>
      <c r="T6" s="25">
        <v>0</v>
      </c>
      <c r="U6" s="25">
        <v>0</v>
      </c>
      <c r="V6" s="25">
        <v>0</v>
      </c>
      <c r="W6" s="26">
        <f>'Conductances determination'!$B$25</f>
        <v>0.24262</v>
      </c>
      <c r="X6" s="25">
        <v>0</v>
      </c>
      <c r="Y6" s="26">
        <v>0</v>
      </c>
      <c r="Z6" s="26">
        <v>0</v>
      </c>
      <c r="AA6" s="25">
        <v>0</v>
      </c>
      <c r="AB6" s="26">
        <f>'Conductances determination'!$B$37</f>
        <v>0.3673094582185491</v>
      </c>
      <c r="AC6" s="26">
        <v>0</v>
      </c>
      <c r="AD6" s="26">
        <v>0</v>
      </c>
    </row>
    <row r="7" spans="1:30">
      <c r="A7" s="22" t="s">
        <v>36</v>
      </c>
      <c r="B7" s="27">
        <f>D5</f>
        <v>0.37037037037037035</v>
      </c>
      <c r="C7" s="27">
        <f>D6</f>
        <v>0.37037037037037035</v>
      </c>
      <c r="D7" s="24">
        <v>0</v>
      </c>
      <c r="E7" s="25">
        <v>0</v>
      </c>
      <c r="F7" s="25">
        <v>0</v>
      </c>
      <c r="G7" s="25">
        <v>0</v>
      </c>
      <c r="H7" s="26">
        <f>'Conductances determination'!$B$49</f>
        <v>0.18365472910927455</v>
      </c>
      <c r="I7" s="25">
        <v>0</v>
      </c>
      <c r="J7" s="25">
        <v>0</v>
      </c>
      <c r="K7" s="25">
        <v>0</v>
      </c>
      <c r="L7" s="25">
        <v>0</v>
      </c>
      <c r="M7" s="26">
        <v>0</v>
      </c>
      <c r="N7" s="26">
        <f>'Conductances determination'!$B$108</f>
        <v>0.18365472910927455</v>
      </c>
      <c r="O7" s="25">
        <v>0</v>
      </c>
      <c r="P7" s="25">
        <v>0</v>
      </c>
      <c r="Q7" s="25">
        <v>0</v>
      </c>
      <c r="R7" s="25">
        <v>0</v>
      </c>
      <c r="S7" s="25">
        <v>0</v>
      </c>
      <c r="T7" s="25">
        <v>0</v>
      </c>
      <c r="U7" s="26">
        <v>0</v>
      </c>
      <c r="V7" s="26">
        <v>0</v>
      </c>
      <c r="W7" s="25">
        <v>0</v>
      </c>
      <c r="X7" s="26">
        <v>0</v>
      </c>
      <c r="Y7" s="25">
        <v>0</v>
      </c>
      <c r="Z7" s="26">
        <f>'Conductances determination'!$B$61</f>
        <v>0.18365472910927455</v>
      </c>
      <c r="AA7" s="25">
        <v>0</v>
      </c>
      <c r="AB7" s="25">
        <v>0</v>
      </c>
      <c r="AC7" s="25">
        <v>0</v>
      </c>
      <c r="AD7" s="26">
        <v>0</v>
      </c>
    </row>
    <row r="8" spans="1:30">
      <c r="A8" s="22" t="s">
        <v>41</v>
      </c>
      <c r="B8" s="27">
        <f>E5</f>
        <v>0.37037037037037035</v>
      </c>
      <c r="C8" s="27">
        <f>E6</f>
        <v>0.37037037037037035</v>
      </c>
      <c r="D8" s="27">
        <f>E7</f>
        <v>0</v>
      </c>
      <c r="E8" s="24">
        <v>0</v>
      </c>
      <c r="F8" s="25">
        <v>0</v>
      </c>
      <c r="G8" s="25">
        <v>0</v>
      </c>
      <c r="H8" s="26">
        <f>'Conductances determination'!$B$49</f>
        <v>0.18365472910927455</v>
      </c>
      <c r="I8" s="25">
        <v>0</v>
      </c>
      <c r="J8" s="25">
        <v>0</v>
      </c>
      <c r="K8" s="25">
        <v>0</v>
      </c>
      <c r="L8" s="25">
        <v>0</v>
      </c>
      <c r="M8" s="26">
        <v>0</v>
      </c>
      <c r="N8" s="26">
        <f>'Conductances determination'!$B$108</f>
        <v>0.18365472910927455</v>
      </c>
      <c r="O8" s="25">
        <v>0</v>
      </c>
      <c r="P8" s="25">
        <v>0</v>
      </c>
      <c r="Q8" s="25">
        <v>0</v>
      </c>
      <c r="R8" s="25">
        <v>0</v>
      </c>
      <c r="S8" s="25">
        <v>0</v>
      </c>
      <c r="T8" s="25">
        <v>0</v>
      </c>
      <c r="U8" s="26">
        <v>0</v>
      </c>
      <c r="V8" s="26">
        <v>0</v>
      </c>
      <c r="W8" s="25">
        <v>0</v>
      </c>
      <c r="X8" s="26">
        <v>0</v>
      </c>
      <c r="Y8" s="26">
        <f>'Conductances determination'!$B$61</f>
        <v>0.18365472910927455</v>
      </c>
      <c r="Z8" s="26">
        <v>0</v>
      </c>
      <c r="AA8" s="25">
        <v>0</v>
      </c>
      <c r="AB8" s="25">
        <v>0</v>
      </c>
      <c r="AC8" s="25">
        <v>0</v>
      </c>
      <c r="AD8" s="26">
        <v>0</v>
      </c>
    </row>
    <row r="9" spans="1:30">
      <c r="A9" s="22" t="s">
        <v>46</v>
      </c>
      <c r="B9" s="27">
        <f>F5</f>
        <v>0.37037037037037035</v>
      </c>
      <c r="C9" s="27">
        <f>F6</f>
        <v>0.37037037037037035</v>
      </c>
      <c r="D9" s="27">
        <f>F7</f>
        <v>0</v>
      </c>
      <c r="E9" s="27">
        <f>F8</f>
        <v>0</v>
      </c>
      <c r="F9" s="24">
        <v>0</v>
      </c>
      <c r="G9" s="25">
        <v>0</v>
      </c>
      <c r="H9" s="25">
        <v>0</v>
      </c>
      <c r="I9" s="25">
        <v>0</v>
      </c>
      <c r="J9" s="25">
        <v>0</v>
      </c>
      <c r="K9" s="25">
        <v>0</v>
      </c>
      <c r="L9" s="25">
        <v>0</v>
      </c>
      <c r="M9" s="26">
        <v>0</v>
      </c>
      <c r="N9" s="26">
        <v>0</v>
      </c>
      <c r="O9" s="25">
        <v>0</v>
      </c>
      <c r="P9" s="25">
        <v>0</v>
      </c>
      <c r="Q9" s="25">
        <v>0</v>
      </c>
      <c r="R9" s="25">
        <v>0</v>
      </c>
      <c r="S9" s="25">
        <v>0</v>
      </c>
      <c r="T9" s="25">
        <v>0</v>
      </c>
      <c r="U9" s="26">
        <v>0</v>
      </c>
      <c r="V9" s="26">
        <f>'Conductances determination'!$B$108</f>
        <v>0.18365472910927455</v>
      </c>
      <c r="W9" s="26">
        <f>'Conductances determination'!$B$49</f>
        <v>0.18365472910927455</v>
      </c>
      <c r="X9" s="26">
        <v>0</v>
      </c>
      <c r="Y9" s="26">
        <f>'Conductances determination'!$B$61</f>
        <v>0.18365472910927455</v>
      </c>
      <c r="Z9" s="25">
        <v>0</v>
      </c>
      <c r="AA9" s="25">
        <v>0</v>
      </c>
      <c r="AB9" s="25">
        <v>0</v>
      </c>
      <c r="AC9" s="26">
        <v>0</v>
      </c>
      <c r="AD9" s="26">
        <v>0</v>
      </c>
    </row>
    <row r="10" spans="1:30">
      <c r="A10" s="22" t="s">
        <v>51</v>
      </c>
      <c r="B10" s="27">
        <f>G5</f>
        <v>0.37037037037037035</v>
      </c>
      <c r="C10" s="27">
        <f>G6</f>
        <v>0.37037037037037035</v>
      </c>
      <c r="D10" s="27">
        <f>G7</f>
        <v>0</v>
      </c>
      <c r="E10" s="27">
        <f>G8</f>
        <v>0</v>
      </c>
      <c r="F10" s="27">
        <f>G9</f>
        <v>0</v>
      </c>
      <c r="G10" s="24">
        <v>0</v>
      </c>
      <c r="H10" s="25">
        <v>0</v>
      </c>
      <c r="I10" s="25">
        <v>0</v>
      </c>
      <c r="J10" s="25">
        <v>0</v>
      </c>
      <c r="K10" s="25">
        <v>0</v>
      </c>
      <c r="L10" s="25">
        <v>0</v>
      </c>
      <c r="M10" s="26">
        <v>0</v>
      </c>
      <c r="N10" s="26">
        <v>0</v>
      </c>
      <c r="O10" s="25">
        <v>0</v>
      </c>
      <c r="P10" s="25">
        <v>0</v>
      </c>
      <c r="Q10" s="25">
        <v>0</v>
      </c>
      <c r="R10" s="25">
        <v>0</v>
      </c>
      <c r="S10" s="25">
        <v>0</v>
      </c>
      <c r="T10" s="25">
        <v>0</v>
      </c>
      <c r="U10" s="26">
        <v>0</v>
      </c>
      <c r="V10" s="26">
        <f>'Conductances determination'!$B$108</f>
        <v>0.18365472910927455</v>
      </c>
      <c r="W10" s="26">
        <f>'Conductances determination'!$B$49</f>
        <v>0.18365472910927455</v>
      </c>
      <c r="X10" s="26">
        <v>0</v>
      </c>
      <c r="Y10" s="25">
        <v>0</v>
      </c>
      <c r="Z10" s="26">
        <f>'Conductances determination'!$B$61</f>
        <v>0.18365472910927455</v>
      </c>
      <c r="AA10" s="25">
        <v>0</v>
      </c>
      <c r="AB10" s="25">
        <v>0</v>
      </c>
      <c r="AC10" s="26">
        <v>0</v>
      </c>
      <c r="AD10" s="26">
        <v>0</v>
      </c>
    </row>
    <row r="11" spans="1:30">
      <c r="A11" s="22" t="s">
        <v>56</v>
      </c>
      <c r="B11" s="27">
        <f>H5</f>
        <v>0.24262</v>
      </c>
      <c r="C11" s="27">
        <f>H6</f>
        <v>0.24262</v>
      </c>
      <c r="D11" s="27">
        <f>H7</f>
        <v>0.18365472910927455</v>
      </c>
      <c r="E11" s="27">
        <f>H8</f>
        <v>0.18365472910927455</v>
      </c>
      <c r="F11" s="27">
        <f>H9</f>
        <v>0</v>
      </c>
      <c r="G11" s="27">
        <f>H10</f>
        <v>0</v>
      </c>
      <c r="H11" s="24">
        <v>0</v>
      </c>
      <c r="I11" s="26">
        <f>'Conductances determination'!$B$86</f>
        <v>5.6836547291092749</v>
      </c>
      <c r="J11" s="26">
        <f>'Conductances determination'!$B$86</f>
        <v>5.6836547291092749</v>
      </c>
      <c r="K11" s="26">
        <f>'Conductances determination'!$B$86</f>
        <v>5.6836547291092749</v>
      </c>
      <c r="L11" s="26">
        <f>'Conductances determination'!$B$86</f>
        <v>5.6836547291092749</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6">
        <f>'Conductances determination'!$B$73</f>
        <v>0.26367831245880025</v>
      </c>
    </row>
    <row r="12" spans="1:30">
      <c r="A12" s="22" t="s">
        <v>61</v>
      </c>
      <c r="B12" s="27">
        <f>I5</f>
        <v>0</v>
      </c>
      <c r="C12" s="27">
        <f>I6</f>
        <v>0</v>
      </c>
      <c r="D12" s="27">
        <f>I7</f>
        <v>0</v>
      </c>
      <c r="E12" s="27">
        <f>I8</f>
        <v>0</v>
      </c>
      <c r="F12" s="27">
        <f>I9</f>
        <v>0</v>
      </c>
      <c r="G12" s="27">
        <f>I10</f>
        <v>0</v>
      </c>
      <c r="H12" s="27">
        <f>I11</f>
        <v>5.6836547291092749</v>
      </c>
      <c r="I12" s="24">
        <v>0</v>
      </c>
      <c r="J12" s="25">
        <v>0</v>
      </c>
      <c r="K12" s="25">
        <v>0</v>
      </c>
      <c r="L12" s="25">
        <v>0</v>
      </c>
      <c r="M12" s="26">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6">
        <v>0</v>
      </c>
    </row>
    <row r="13" spans="1:30">
      <c r="A13" s="22" t="s">
        <v>67</v>
      </c>
      <c r="B13" s="27">
        <f>J5</f>
        <v>0</v>
      </c>
      <c r="C13" s="27">
        <f>J6</f>
        <v>0</v>
      </c>
      <c r="D13" s="27">
        <f>J7</f>
        <v>0</v>
      </c>
      <c r="E13" s="27">
        <f>J8</f>
        <v>0</v>
      </c>
      <c r="F13" s="27">
        <f>J9</f>
        <v>0</v>
      </c>
      <c r="G13" s="27">
        <f>J10</f>
        <v>0</v>
      </c>
      <c r="H13" s="27">
        <f>J11</f>
        <v>5.6836547291092749</v>
      </c>
      <c r="I13" s="27">
        <f>J12</f>
        <v>0</v>
      </c>
      <c r="J13" s="24">
        <v>0</v>
      </c>
      <c r="K13" s="25">
        <v>0</v>
      </c>
      <c r="L13" s="25">
        <v>0</v>
      </c>
      <c r="M13" s="26">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6">
        <v>0</v>
      </c>
    </row>
    <row r="14" spans="1:30">
      <c r="A14" s="22" t="s">
        <v>69</v>
      </c>
      <c r="B14" s="27">
        <f>K5</f>
        <v>0</v>
      </c>
      <c r="C14" s="27">
        <f>K6</f>
        <v>0</v>
      </c>
      <c r="D14" s="27">
        <f>K7</f>
        <v>0</v>
      </c>
      <c r="E14" s="27">
        <f>K8</f>
        <v>0</v>
      </c>
      <c r="F14" s="27">
        <f>K9</f>
        <v>0</v>
      </c>
      <c r="G14" s="27">
        <f>K10</f>
        <v>0</v>
      </c>
      <c r="H14" s="27">
        <f>K11</f>
        <v>5.6836547291092749</v>
      </c>
      <c r="I14" s="27">
        <f>K12</f>
        <v>0</v>
      </c>
      <c r="J14" s="27">
        <f>K13</f>
        <v>0</v>
      </c>
      <c r="K14" s="24">
        <v>0</v>
      </c>
      <c r="L14" s="25">
        <v>0</v>
      </c>
      <c r="M14" s="26">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6">
        <v>0</v>
      </c>
    </row>
    <row r="15" spans="1:30" ht="15.75" customHeight="1">
      <c r="A15" s="22" t="s">
        <v>71</v>
      </c>
      <c r="B15" s="27">
        <f>L5</f>
        <v>0</v>
      </c>
      <c r="C15" s="27">
        <f>L6</f>
        <v>0</v>
      </c>
      <c r="D15" s="27">
        <f>L7</f>
        <v>0</v>
      </c>
      <c r="E15" s="27">
        <f>L8</f>
        <v>0</v>
      </c>
      <c r="F15" s="27">
        <f>L9</f>
        <v>0</v>
      </c>
      <c r="G15" s="27">
        <f>L10</f>
        <v>0</v>
      </c>
      <c r="H15" s="27">
        <f>L11</f>
        <v>5.6836547291092749</v>
      </c>
      <c r="I15" s="27">
        <f>L12</f>
        <v>0</v>
      </c>
      <c r="J15" s="27">
        <f>L13</f>
        <v>0</v>
      </c>
      <c r="K15" s="27">
        <f>L14</f>
        <v>0</v>
      </c>
      <c r="L15" s="24">
        <v>0</v>
      </c>
      <c r="M15" s="26">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6">
        <v>0</v>
      </c>
    </row>
    <row r="16" spans="1:30" ht="15.75" customHeight="1">
      <c r="A16" s="22" t="s">
        <v>73</v>
      </c>
      <c r="B16" s="27">
        <f>M5</f>
        <v>0</v>
      </c>
      <c r="C16" s="27">
        <f>M6</f>
        <v>0</v>
      </c>
      <c r="D16" s="27">
        <f>M7</f>
        <v>0</v>
      </c>
      <c r="E16" s="27">
        <f>M8</f>
        <v>0</v>
      </c>
      <c r="F16" s="27">
        <f>M9</f>
        <v>0</v>
      </c>
      <c r="G16" s="27">
        <f>M10</f>
        <v>0</v>
      </c>
      <c r="H16" s="27">
        <f>M11</f>
        <v>0</v>
      </c>
      <c r="I16" s="27">
        <f>M12</f>
        <v>0</v>
      </c>
      <c r="J16" s="27">
        <f>M13</f>
        <v>0</v>
      </c>
      <c r="K16" s="27">
        <f>M14</f>
        <v>0</v>
      </c>
      <c r="L16" s="27">
        <f>M15</f>
        <v>0</v>
      </c>
      <c r="M16" s="24">
        <v>0</v>
      </c>
      <c r="N16" s="26">
        <f>'Conductances determination'!$B$97</f>
        <v>0.3673094582185491</v>
      </c>
      <c r="O16" s="25">
        <v>0</v>
      </c>
      <c r="P16" s="25">
        <v>0</v>
      </c>
      <c r="Q16" s="25">
        <v>0</v>
      </c>
      <c r="R16" s="25">
        <v>0</v>
      </c>
      <c r="S16" s="25">
        <v>0</v>
      </c>
      <c r="T16" s="25">
        <v>0</v>
      </c>
      <c r="U16" s="25">
        <v>0</v>
      </c>
      <c r="V16" s="25">
        <v>0</v>
      </c>
      <c r="W16" s="25">
        <v>0</v>
      </c>
      <c r="X16" s="25">
        <v>0</v>
      </c>
      <c r="Y16" s="25">
        <v>0</v>
      </c>
      <c r="Z16" s="25">
        <v>0</v>
      </c>
      <c r="AA16" s="25">
        <v>0</v>
      </c>
      <c r="AB16" s="25">
        <v>0</v>
      </c>
      <c r="AC16" s="25">
        <v>0</v>
      </c>
      <c r="AD16" s="26">
        <v>0</v>
      </c>
    </row>
    <row r="17" spans="1:30" ht="15.75" customHeight="1">
      <c r="A17" s="22" t="s">
        <v>78</v>
      </c>
      <c r="B17" s="27">
        <f>N5</f>
        <v>0</v>
      </c>
      <c r="C17" s="27">
        <f>N6</f>
        <v>0</v>
      </c>
      <c r="D17" s="27">
        <f>N7</f>
        <v>0.18365472910927455</v>
      </c>
      <c r="E17" s="27">
        <f>N8</f>
        <v>0.18365472910927455</v>
      </c>
      <c r="F17" s="27">
        <f>N9</f>
        <v>0</v>
      </c>
      <c r="G17" s="27">
        <f>N10</f>
        <v>0</v>
      </c>
      <c r="H17" s="27">
        <f>N11</f>
        <v>0</v>
      </c>
      <c r="I17" s="27">
        <f>N12</f>
        <v>0</v>
      </c>
      <c r="J17" s="27">
        <f>N13</f>
        <v>0</v>
      </c>
      <c r="K17" s="27">
        <f>N14</f>
        <v>0</v>
      </c>
      <c r="L17" s="27">
        <f>N15</f>
        <v>0</v>
      </c>
      <c r="M17" s="27">
        <f>N16</f>
        <v>0.3673094582185491</v>
      </c>
      <c r="N17" s="24">
        <v>0</v>
      </c>
      <c r="O17" s="26">
        <f>'Conductances determination'!$B$115</f>
        <v>37.57</v>
      </c>
      <c r="P17" s="26">
        <f>'Conductances determination'!$B$115</f>
        <v>37.57</v>
      </c>
      <c r="Q17" s="26">
        <f>'Conductances determination'!$B$115</f>
        <v>37.57</v>
      </c>
      <c r="R17" s="26">
        <f>'Conductances determination'!$B$115</f>
        <v>37.57</v>
      </c>
      <c r="S17" s="26">
        <f>'Conductances determination'!$B$115</f>
        <v>37.57</v>
      </c>
      <c r="T17" s="26">
        <f>'Conductances determination'!$B$115</f>
        <v>37.57</v>
      </c>
      <c r="U17" s="26">
        <f>'Conductances determination'!$B$97</f>
        <v>0.3673094582185491</v>
      </c>
      <c r="V17" s="25">
        <v>0</v>
      </c>
      <c r="W17" s="25">
        <v>0</v>
      </c>
      <c r="X17" s="25">
        <v>0</v>
      </c>
      <c r="Y17" s="25">
        <v>0</v>
      </c>
      <c r="Z17" s="25">
        <v>0</v>
      </c>
      <c r="AA17" s="25">
        <v>0</v>
      </c>
      <c r="AB17" s="25">
        <v>0</v>
      </c>
      <c r="AC17" s="25">
        <v>0</v>
      </c>
      <c r="AD17" s="26">
        <v>0</v>
      </c>
    </row>
    <row r="18" spans="1:30" ht="15.75" customHeight="1">
      <c r="A18" s="22" t="s">
        <v>83</v>
      </c>
      <c r="B18" s="27">
        <f>O5</f>
        <v>0</v>
      </c>
      <c r="C18" s="27">
        <f>O6</f>
        <v>0</v>
      </c>
      <c r="D18" s="27">
        <f>O7</f>
        <v>0</v>
      </c>
      <c r="E18" s="27">
        <f>O8</f>
        <v>0</v>
      </c>
      <c r="F18" s="27">
        <f>O9</f>
        <v>0</v>
      </c>
      <c r="G18" s="27">
        <f>O10</f>
        <v>0</v>
      </c>
      <c r="H18" s="27">
        <f>O11</f>
        <v>0</v>
      </c>
      <c r="I18" s="27">
        <f>O12</f>
        <v>0</v>
      </c>
      <c r="J18" s="27">
        <f>O13</f>
        <v>0</v>
      </c>
      <c r="K18" s="27">
        <f>O14</f>
        <v>0</v>
      </c>
      <c r="L18" s="27">
        <f>O15</f>
        <v>0</v>
      </c>
      <c r="M18" s="27">
        <f>O16</f>
        <v>0</v>
      </c>
      <c r="N18" s="27">
        <f>O17</f>
        <v>37.57</v>
      </c>
      <c r="O18" s="24">
        <v>0</v>
      </c>
      <c r="P18" s="25">
        <v>0</v>
      </c>
      <c r="Q18" s="25">
        <v>0</v>
      </c>
      <c r="R18" s="25">
        <v>0</v>
      </c>
      <c r="S18" s="25">
        <v>0</v>
      </c>
      <c r="T18" s="25">
        <v>0</v>
      </c>
      <c r="U18" s="25">
        <v>0</v>
      </c>
      <c r="V18" s="25">
        <v>0</v>
      </c>
      <c r="W18" s="25">
        <v>0</v>
      </c>
      <c r="X18" s="25">
        <v>0</v>
      </c>
      <c r="Y18" s="25">
        <v>0</v>
      </c>
      <c r="Z18" s="25">
        <v>0</v>
      </c>
      <c r="AA18" s="25">
        <v>0</v>
      </c>
      <c r="AB18" s="25">
        <v>0</v>
      </c>
      <c r="AC18" s="25">
        <v>0</v>
      </c>
      <c r="AD18" s="26">
        <v>0</v>
      </c>
    </row>
    <row r="19" spans="1:30" ht="15.75" customHeight="1">
      <c r="A19" s="22" t="s">
        <v>87</v>
      </c>
      <c r="B19" s="27">
        <f>P5</f>
        <v>0</v>
      </c>
      <c r="C19" s="27">
        <f>P6</f>
        <v>0</v>
      </c>
      <c r="D19" s="27">
        <f>P7</f>
        <v>0</v>
      </c>
      <c r="E19" s="27">
        <f>P8</f>
        <v>0</v>
      </c>
      <c r="F19" s="27">
        <f>P9</f>
        <v>0</v>
      </c>
      <c r="G19" s="27">
        <f>P10</f>
        <v>0</v>
      </c>
      <c r="H19" s="27">
        <f>P11</f>
        <v>0</v>
      </c>
      <c r="I19" s="27">
        <f>P12</f>
        <v>0</v>
      </c>
      <c r="J19" s="27">
        <f>P13</f>
        <v>0</v>
      </c>
      <c r="K19" s="27">
        <f>P14</f>
        <v>0</v>
      </c>
      <c r="L19" s="27">
        <f>P15</f>
        <v>0</v>
      </c>
      <c r="M19" s="27">
        <f>P16</f>
        <v>0</v>
      </c>
      <c r="N19" s="27">
        <f>P17</f>
        <v>37.57</v>
      </c>
      <c r="O19" s="27">
        <f>P18</f>
        <v>0</v>
      </c>
      <c r="P19" s="24">
        <v>0</v>
      </c>
      <c r="Q19" s="25">
        <v>0</v>
      </c>
      <c r="R19" s="25">
        <v>0</v>
      </c>
      <c r="S19" s="25">
        <v>0</v>
      </c>
      <c r="T19" s="25">
        <v>0</v>
      </c>
      <c r="U19" s="25">
        <v>0</v>
      </c>
      <c r="V19" s="25">
        <v>0</v>
      </c>
      <c r="W19" s="25">
        <v>0</v>
      </c>
      <c r="X19" s="25">
        <v>0</v>
      </c>
      <c r="Y19" s="25">
        <v>0</v>
      </c>
      <c r="Z19" s="25">
        <v>0</v>
      </c>
      <c r="AA19" s="25">
        <v>0</v>
      </c>
      <c r="AB19" s="25">
        <v>0</v>
      </c>
      <c r="AC19" s="25">
        <v>0</v>
      </c>
      <c r="AD19" s="26">
        <v>0</v>
      </c>
    </row>
    <row r="20" spans="1:30" ht="15.75" customHeight="1">
      <c r="A20" s="22" t="s">
        <v>89</v>
      </c>
      <c r="B20" s="27">
        <f>Q5</f>
        <v>0</v>
      </c>
      <c r="C20" s="27">
        <f>Q6</f>
        <v>0</v>
      </c>
      <c r="D20" s="27">
        <f>Q7</f>
        <v>0</v>
      </c>
      <c r="E20" s="27">
        <f>Q8</f>
        <v>0</v>
      </c>
      <c r="F20" s="27">
        <f>Q9</f>
        <v>0</v>
      </c>
      <c r="G20" s="27">
        <f>Q10</f>
        <v>0</v>
      </c>
      <c r="H20" s="27">
        <f>Q11</f>
        <v>0</v>
      </c>
      <c r="I20" s="27">
        <f>Q12</f>
        <v>0</v>
      </c>
      <c r="J20" s="27">
        <f>Q13</f>
        <v>0</v>
      </c>
      <c r="K20" s="27">
        <f>Q14</f>
        <v>0</v>
      </c>
      <c r="L20" s="27">
        <f>Q15</f>
        <v>0</v>
      </c>
      <c r="M20" s="27">
        <f>Q16</f>
        <v>0</v>
      </c>
      <c r="N20" s="27">
        <f>Q17</f>
        <v>37.57</v>
      </c>
      <c r="O20" s="27">
        <f>Q18</f>
        <v>0</v>
      </c>
      <c r="P20" s="27">
        <f>Q19</f>
        <v>0</v>
      </c>
      <c r="Q20" s="24">
        <v>0</v>
      </c>
      <c r="R20" s="25">
        <v>0</v>
      </c>
      <c r="S20" s="25">
        <v>0</v>
      </c>
      <c r="T20" s="25">
        <v>0</v>
      </c>
      <c r="U20" s="25">
        <v>0</v>
      </c>
      <c r="V20" s="25">
        <v>0</v>
      </c>
      <c r="W20" s="25">
        <v>0</v>
      </c>
      <c r="X20" s="25">
        <v>0</v>
      </c>
      <c r="Y20" s="25">
        <v>0</v>
      </c>
      <c r="Z20" s="25">
        <v>0</v>
      </c>
      <c r="AA20" s="25">
        <v>0</v>
      </c>
      <c r="AB20" s="25">
        <v>0</v>
      </c>
      <c r="AC20" s="25">
        <v>0</v>
      </c>
      <c r="AD20" s="26">
        <v>0</v>
      </c>
    </row>
    <row r="21" spans="1:30" ht="15.75" customHeight="1">
      <c r="A21" s="22" t="s">
        <v>91</v>
      </c>
      <c r="B21" s="27">
        <f>R5</f>
        <v>0</v>
      </c>
      <c r="C21" s="27">
        <f>R6</f>
        <v>0</v>
      </c>
      <c r="D21" s="27">
        <f>R7</f>
        <v>0</v>
      </c>
      <c r="E21" s="27">
        <f>R8</f>
        <v>0</v>
      </c>
      <c r="F21" s="27">
        <f>R9</f>
        <v>0</v>
      </c>
      <c r="G21" s="27">
        <f>R10</f>
        <v>0</v>
      </c>
      <c r="H21" s="27">
        <f>R11</f>
        <v>0</v>
      </c>
      <c r="I21" s="27">
        <f>R12</f>
        <v>0</v>
      </c>
      <c r="J21" s="27">
        <f>R13</f>
        <v>0</v>
      </c>
      <c r="K21" s="27">
        <f>R14</f>
        <v>0</v>
      </c>
      <c r="L21" s="27">
        <f>R15</f>
        <v>0</v>
      </c>
      <c r="M21" s="27">
        <f>R16</f>
        <v>0</v>
      </c>
      <c r="N21" s="27">
        <f>R17</f>
        <v>37.57</v>
      </c>
      <c r="O21" s="27">
        <f>R18</f>
        <v>0</v>
      </c>
      <c r="P21" s="27">
        <f>R19</f>
        <v>0</v>
      </c>
      <c r="Q21" s="27">
        <f>R20</f>
        <v>0</v>
      </c>
      <c r="R21" s="24">
        <v>0</v>
      </c>
      <c r="S21" s="25">
        <v>0</v>
      </c>
      <c r="T21" s="25">
        <v>0</v>
      </c>
      <c r="U21" s="25">
        <v>0</v>
      </c>
      <c r="V21" s="25">
        <v>0</v>
      </c>
      <c r="W21" s="25">
        <v>0</v>
      </c>
      <c r="X21" s="25">
        <v>0</v>
      </c>
      <c r="Y21" s="25">
        <v>0</v>
      </c>
      <c r="Z21" s="25">
        <v>0</v>
      </c>
      <c r="AA21" s="25">
        <v>0</v>
      </c>
      <c r="AB21" s="25">
        <v>0</v>
      </c>
      <c r="AC21" s="25">
        <v>0</v>
      </c>
      <c r="AD21" s="26">
        <v>0</v>
      </c>
    </row>
    <row r="22" spans="1:30" ht="15.75" customHeight="1">
      <c r="A22" s="22" t="s">
        <v>93</v>
      </c>
      <c r="B22" s="27">
        <f>S5</f>
        <v>0</v>
      </c>
      <c r="C22" s="27">
        <f>S6</f>
        <v>0</v>
      </c>
      <c r="D22" s="27">
        <f>S7</f>
        <v>0</v>
      </c>
      <c r="E22" s="27">
        <f>S8</f>
        <v>0</v>
      </c>
      <c r="F22" s="27">
        <f>S9</f>
        <v>0</v>
      </c>
      <c r="G22" s="27">
        <f>S10</f>
        <v>0</v>
      </c>
      <c r="H22" s="27">
        <f>S11</f>
        <v>0</v>
      </c>
      <c r="I22" s="27">
        <f>S12</f>
        <v>0</v>
      </c>
      <c r="J22" s="27">
        <f>S13</f>
        <v>0</v>
      </c>
      <c r="K22" s="27">
        <f>S14</f>
        <v>0</v>
      </c>
      <c r="L22" s="27">
        <f>S15</f>
        <v>0</v>
      </c>
      <c r="M22" s="27">
        <f>S16</f>
        <v>0</v>
      </c>
      <c r="N22" s="27">
        <f>S17</f>
        <v>37.57</v>
      </c>
      <c r="O22" s="27">
        <f>S18</f>
        <v>0</v>
      </c>
      <c r="P22" s="27">
        <f>S19</f>
        <v>0</v>
      </c>
      <c r="Q22" s="27">
        <f>S20</f>
        <v>0</v>
      </c>
      <c r="R22" s="27">
        <f>S21</f>
        <v>0</v>
      </c>
      <c r="S22" s="24">
        <v>0</v>
      </c>
      <c r="T22" s="25">
        <v>0</v>
      </c>
      <c r="U22" s="25">
        <v>0</v>
      </c>
      <c r="V22" s="25">
        <v>0</v>
      </c>
      <c r="W22" s="25">
        <v>0</v>
      </c>
      <c r="X22" s="25">
        <v>0</v>
      </c>
      <c r="Y22" s="25">
        <v>0</v>
      </c>
      <c r="Z22" s="25">
        <v>0</v>
      </c>
      <c r="AA22" s="25">
        <v>0</v>
      </c>
      <c r="AB22" s="25">
        <v>0</v>
      </c>
      <c r="AC22" s="25">
        <v>0</v>
      </c>
      <c r="AD22" s="26">
        <v>0</v>
      </c>
    </row>
    <row r="23" spans="1:30" ht="15.75" customHeight="1">
      <c r="A23" s="22" t="s">
        <v>97</v>
      </c>
      <c r="B23" s="27">
        <f>T5</f>
        <v>0</v>
      </c>
      <c r="C23" s="27">
        <f>T6</f>
        <v>0</v>
      </c>
      <c r="D23" s="27">
        <f>T7</f>
        <v>0</v>
      </c>
      <c r="E23" s="27">
        <f>T8</f>
        <v>0</v>
      </c>
      <c r="F23" s="27">
        <f>T9</f>
        <v>0</v>
      </c>
      <c r="G23" s="27">
        <f>T10</f>
        <v>0</v>
      </c>
      <c r="H23" s="27">
        <f>T11</f>
        <v>0</v>
      </c>
      <c r="I23" s="27">
        <f>T12</f>
        <v>0</v>
      </c>
      <c r="J23" s="27">
        <f>T13</f>
        <v>0</v>
      </c>
      <c r="K23" s="27">
        <f>T14</f>
        <v>0</v>
      </c>
      <c r="L23" s="27">
        <f>T15</f>
        <v>0</v>
      </c>
      <c r="M23" s="27">
        <f>T16</f>
        <v>0</v>
      </c>
      <c r="N23" s="27">
        <f>T17</f>
        <v>37.57</v>
      </c>
      <c r="O23" s="27">
        <f>T18</f>
        <v>0</v>
      </c>
      <c r="P23" s="27">
        <f>T19</f>
        <v>0</v>
      </c>
      <c r="Q23" s="27">
        <f>T20</f>
        <v>0</v>
      </c>
      <c r="R23" s="27">
        <f>T21</f>
        <v>0</v>
      </c>
      <c r="S23" s="27">
        <f>T22</f>
        <v>0</v>
      </c>
      <c r="T23" s="24">
        <v>0</v>
      </c>
      <c r="U23" s="25">
        <v>0</v>
      </c>
      <c r="V23" s="25">
        <v>0</v>
      </c>
      <c r="W23" s="25">
        <v>0</v>
      </c>
      <c r="X23" s="25">
        <v>0</v>
      </c>
      <c r="Y23" s="25">
        <v>0</v>
      </c>
      <c r="Z23" s="25">
        <v>0</v>
      </c>
      <c r="AA23" s="25">
        <v>0</v>
      </c>
      <c r="AB23" s="25">
        <v>0</v>
      </c>
      <c r="AC23" s="25">
        <v>0</v>
      </c>
      <c r="AD23" s="26">
        <v>0</v>
      </c>
    </row>
    <row r="24" spans="1:30" ht="15.75" customHeight="1">
      <c r="A24" s="22" t="s">
        <v>99</v>
      </c>
      <c r="B24" s="27">
        <f>U5</f>
        <v>0</v>
      </c>
      <c r="C24" s="27">
        <f>U6</f>
        <v>0</v>
      </c>
      <c r="D24" s="27">
        <f>U7</f>
        <v>0</v>
      </c>
      <c r="E24" s="27">
        <f>U8</f>
        <v>0</v>
      </c>
      <c r="F24" s="27">
        <f>U9</f>
        <v>0</v>
      </c>
      <c r="G24" s="27">
        <f>U10</f>
        <v>0</v>
      </c>
      <c r="H24" s="27">
        <f>U11</f>
        <v>0</v>
      </c>
      <c r="I24" s="27">
        <f>U12</f>
        <v>0</v>
      </c>
      <c r="J24" s="27">
        <f>U13</f>
        <v>0</v>
      </c>
      <c r="K24" s="27">
        <f>U14</f>
        <v>0</v>
      </c>
      <c r="L24" s="27">
        <f>U15</f>
        <v>0</v>
      </c>
      <c r="M24" s="27">
        <f>U16</f>
        <v>0</v>
      </c>
      <c r="N24" s="27">
        <f>U17</f>
        <v>0.3673094582185491</v>
      </c>
      <c r="O24" s="27">
        <f>U18</f>
        <v>0</v>
      </c>
      <c r="P24" s="27">
        <f>U19</f>
        <v>0</v>
      </c>
      <c r="Q24" s="27">
        <f>U20</f>
        <v>0</v>
      </c>
      <c r="R24" s="27">
        <f>U21</f>
        <v>0</v>
      </c>
      <c r="S24" s="27">
        <f>U22</f>
        <v>0</v>
      </c>
      <c r="T24" s="27">
        <f>U23</f>
        <v>0</v>
      </c>
      <c r="U24" s="24">
        <v>0</v>
      </c>
      <c r="V24" s="26">
        <f>'Conductances determination'!$B$97</f>
        <v>0.3673094582185491</v>
      </c>
      <c r="W24" s="25">
        <v>0</v>
      </c>
      <c r="X24" s="26">
        <f>'Conductances determination'!$B$97</f>
        <v>0.3673094582185491</v>
      </c>
      <c r="Y24" s="25">
        <v>0</v>
      </c>
      <c r="Z24" s="25">
        <v>0</v>
      </c>
      <c r="AA24" s="25">
        <v>0</v>
      </c>
      <c r="AB24" s="25">
        <v>0</v>
      </c>
      <c r="AC24" s="25">
        <v>0</v>
      </c>
      <c r="AD24" s="26">
        <v>0</v>
      </c>
    </row>
    <row r="25" spans="1:30" ht="15.75" customHeight="1">
      <c r="A25" s="22" t="s">
        <v>103</v>
      </c>
      <c r="B25" s="27">
        <f>V5</f>
        <v>0</v>
      </c>
      <c r="C25" s="27">
        <f>V6</f>
        <v>0</v>
      </c>
      <c r="D25" s="27">
        <f>V7</f>
        <v>0</v>
      </c>
      <c r="E25" s="27">
        <f>V8</f>
        <v>0</v>
      </c>
      <c r="F25" s="27">
        <f>V9</f>
        <v>0.18365472910927455</v>
      </c>
      <c r="G25" s="27">
        <f>V10</f>
        <v>0.18365472910927455</v>
      </c>
      <c r="H25" s="27">
        <f>V11</f>
        <v>0</v>
      </c>
      <c r="I25" s="27">
        <f>V12</f>
        <v>0</v>
      </c>
      <c r="J25" s="27">
        <f>V13</f>
        <v>0</v>
      </c>
      <c r="K25" s="27">
        <f>V14</f>
        <v>0</v>
      </c>
      <c r="L25" s="27">
        <f>V15</f>
        <v>0</v>
      </c>
      <c r="M25" s="27">
        <f>V16</f>
        <v>0</v>
      </c>
      <c r="N25" s="27">
        <f>V17</f>
        <v>0</v>
      </c>
      <c r="O25" s="27">
        <f>V18</f>
        <v>0</v>
      </c>
      <c r="P25" s="27">
        <f>V19</f>
        <v>0</v>
      </c>
      <c r="Q25" s="27">
        <f>V20</f>
        <v>0</v>
      </c>
      <c r="R25" s="27">
        <f>V21</f>
        <v>0</v>
      </c>
      <c r="S25" s="27">
        <f>V22</f>
        <v>0</v>
      </c>
      <c r="T25" s="27">
        <f>V23</f>
        <v>0</v>
      </c>
      <c r="U25" s="27">
        <f>V24</f>
        <v>0.3673094582185491</v>
      </c>
      <c r="V25" s="24">
        <v>0</v>
      </c>
      <c r="W25" s="25">
        <v>0</v>
      </c>
      <c r="X25" s="25">
        <v>0</v>
      </c>
      <c r="Y25" s="25">
        <v>0</v>
      </c>
      <c r="Z25" s="25">
        <v>0</v>
      </c>
      <c r="AA25" s="25">
        <v>0</v>
      </c>
      <c r="AB25" s="25">
        <v>0</v>
      </c>
      <c r="AC25" s="25">
        <v>0</v>
      </c>
      <c r="AD25" s="26">
        <v>0</v>
      </c>
    </row>
    <row r="26" spans="1:30" ht="15.75" customHeight="1">
      <c r="A26" s="22" t="s">
        <v>107</v>
      </c>
      <c r="B26" s="27">
        <f>W5</f>
        <v>0.24262</v>
      </c>
      <c r="C26" s="27">
        <f>W6</f>
        <v>0.24262</v>
      </c>
      <c r="D26" s="27">
        <f>W7</f>
        <v>0</v>
      </c>
      <c r="E26" s="27">
        <f>W8</f>
        <v>0</v>
      </c>
      <c r="F26" s="27">
        <f>W9</f>
        <v>0.18365472910927455</v>
      </c>
      <c r="G26" s="27">
        <f>W10</f>
        <v>0.18365472910927455</v>
      </c>
      <c r="H26" s="27">
        <f>W11</f>
        <v>0</v>
      </c>
      <c r="I26" s="27">
        <f>W12</f>
        <v>0</v>
      </c>
      <c r="J26" s="27">
        <f>W13</f>
        <v>0</v>
      </c>
      <c r="K26" s="27">
        <f>W14</f>
        <v>0</v>
      </c>
      <c r="L26" s="27">
        <f>W15</f>
        <v>0</v>
      </c>
      <c r="M26" s="27">
        <f>W16</f>
        <v>0</v>
      </c>
      <c r="N26" s="27">
        <f>W17</f>
        <v>0</v>
      </c>
      <c r="O26" s="27">
        <f>W18</f>
        <v>0</v>
      </c>
      <c r="P26" s="27">
        <f>W19</f>
        <v>0</v>
      </c>
      <c r="Q26" s="27">
        <f>W20</f>
        <v>0</v>
      </c>
      <c r="R26" s="27">
        <f>W21</f>
        <v>0</v>
      </c>
      <c r="S26" s="27">
        <f>W22</f>
        <v>0</v>
      </c>
      <c r="T26" s="27">
        <f>W23</f>
        <v>0</v>
      </c>
      <c r="U26" s="27">
        <f>W24</f>
        <v>0</v>
      </c>
      <c r="V26" s="27">
        <f>W25</f>
        <v>0</v>
      </c>
      <c r="W26" s="24">
        <v>0</v>
      </c>
      <c r="X26" s="25">
        <v>0</v>
      </c>
      <c r="Y26" s="25">
        <v>0</v>
      </c>
      <c r="Z26" s="25">
        <v>0</v>
      </c>
      <c r="AA26" s="25">
        <v>0</v>
      </c>
      <c r="AB26" s="25">
        <v>0</v>
      </c>
      <c r="AC26" s="26">
        <f>'Conductances determination'!$B$127</f>
        <v>0.3673094582185491</v>
      </c>
      <c r="AD26" s="26">
        <v>0</v>
      </c>
    </row>
    <row r="27" spans="1:30" ht="15.75" customHeight="1">
      <c r="A27" s="22" t="s">
        <v>112</v>
      </c>
      <c r="B27" s="27">
        <f>X5</f>
        <v>0</v>
      </c>
      <c r="C27" s="27">
        <f>X6</f>
        <v>0</v>
      </c>
      <c r="D27" s="27">
        <f>X7</f>
        <v>0</v>
      </c>
      <c r="E27" s="27">
        <f>X8</f>
        <v>0</v>
      </c>
      <c r="F27" s="27">
        <f>X9</f>
        <v>0</v>
      </c>
      <c r="G27" s="27">
        <f>X10</f>
        <v>0</v>
      </c>
      <c r="H27" s="27">
        <f>X11</f>
        <v>0</v>
      </c>
      <c r="I27" s="27">
        <f>X12</f>
        <v>0</v>
      </c>
      <c r="J27" s="27">
        <f>X13</f>
        <v>0</v>
      </c>
      <c r="K27" s="27">
        <f>X14</f>
        <v>0</v>
      </c>
      <c r="L27" s="27">
        <f>X15</f>
        <v>0</v>
      </c>
      <c r="M27" s="27">
        <f>X16</f>
        <v>0</v>
      </c>
      <c r="N27" s="27">
        <f>X17</f>
        <v>0</v>
      </c>
      <c r="O27" s="27">
        <f>X18</f>
        <v>0</v>
      </c>
      <c r="P27" s="27">
        <f>X19</f>
        <v>0</v>
      </c>
      <c r="Q27" s="27">
        <f>X20</f>
        <v>0</v>
      </c>
      <c r="R27" s="27">
        <f>X21</f>
        <v>0</v>
      </c>
      <c r="S27" s="27">
        <f>X22</f>
        <v>0</v>
      </c>
      <c r="T27" s="27">
        <f>X23</f>
        <v>0</v>
      </c>
      <c r="U27" s="27">
        <f>X24</f>
        <v>0.3673094582185491</v>
      </c>
      <c r="V27" s="27">
        <f>X25</f>
        <v>0</v>
      </c>
      <c r="W27" s="27">
        <f>X26</f>
        <v>0</v>
      </c>
      <c r="X27" s="24">
        <v>0</v>
      </c>
      <c r="Y27" s="25">
        <v>0</v>
      </c>
      <c r="Z27" s="25">
        <v>0</v>
      </c>
      <c r="AA27" s="25">
        <v>0</v>
      </c>
      <c r="AB27" s="25">
        <v>0</v>
      </c>
      <c r="AC27" s="25">
        <v>0</v>
      </c>
      <c r="AD27" s="26">
        <v>0</v>
      </c>
    </row>
    <row r="28" spans="1:30" ht="15.75" customHeight="1">
      <c r="A28" s="22" t="s">
        <v>116</v>
      </c>
      <c r="B28" s="27">
        <f>Y5</f>
        <v>0</v>
      </c>
      <c r="C28" s="27">
        <f>Y6</f>
        <v>0</v>
      </c>
      <c r="D28" s="27">
        <f>Y7</f>
        <v>0</v>
      </c>
      <c r="E28" s="27">
        <f>Y8</f>
        <v>0.18365472910927455</v>
      </c>
      <c r="F28" s="27">
        <f>Y9</f>
        <v>0.18365472910927455</v>
      </c>
      <c r="G28" s="27">
        <f>Y10</f>
        <v>0</v>
      </c>
      <c r="H28" s="27">
        <f>Y11</f>
        <v>0</v>
      </c>
      <c r="I28" s="27">
        <f>Y12</f>
        <v>0</v>
      </c>
      <c r="J28" s="27">
        <f>Y13</f>
        <v>0</v>
      </c>
      <c r="K28" s="27">
        <f>Y14</f>
        <v>0</v>
      </c>
      <c r="L28" s="27">
        <f>Y15</f>
        <v>0</v>
      </c>
      <c r="M28" s="27">
        <f>Y16</f>
        <v>0</v>
      </c>
      <c r="N28" s="27">
        <f>Y17</f>
        <v>0</v>
      </c>
      <c r="O28" s="27">
        <f>Y18</f>
        <v>0</v>
      </c>
      <c r="P28" s="27">
        <f>Y19</f>
        <v>0</v>
      </c>
      <c r="Q28" s="27">
        <f>Y20</f>
        <v>0</v>
      </c>
      <c r="R28" s="27">
        <f>Y21</f>
        <v>0</v>
      </c>
      <c r="S28" s="27">
        <f>Y22</f>
        <v>0</v>
      </c>
      <c r="T28" s="27">
        <f>Y23</f>
        <v>0</v>
      </c>
      <c r="U28" s="27">
        <f>Y24</f>
        <v>0</v>
      </c>
      <c r="V28" s="27">
        <f>Y25</f>
        <v>0</v>
      </c>
      <c r="W28" s="27">
        <f>Y26</f>
        <v>0</v>
      </c>
      <c r="X28" s="27">
        <f>Y27</f>
        <v>0</v>
      </c>
      <c r="Y28" s="24">
        <v>0</v>
      </c>
      <c r="Z28" s="25">
        <v>0</v>
      </c>
      <c r="AA28" s="25">
        <v>0</v>
      </c>
      <c r="AB28" s="25">
        <v>0</v>
      </c>
      <c r="AC28" s="25">
        <v>0</v>
      </c>
      <c r="AD28" s="26">
        <v>0</v>
      </c>
    </row>
    <row r="29" spans="1:30" ht="15.75" customHeight="1">
      <c r="A29" s="22" t="s">
        <v>122</v>
      </c>
      <c r="B29" s="27">
        <f>Z5</f>
        <v>0</v>
      </c>
      <c r="C29" s="27">
        <f>Z6</f>
        <v>0</v>
      </c>
      <c r="D29" s="27">
        <f>Z7</f>
        <v>0.18365472910927455</v>
      </c>
      <c r="E29" s="27">
        <f>Z8</f>
        <v>0</v>
      </c>
      <c r="F29" s="27">
        <f>Z9</f>
        <v>0</v>
      </c>
      <c r="G29" s="27">
        <f>Z10</f>
        <v>0.18365472910927455</v>
      </c>
      <c r="H29" s="27">
        <f>Z11</f>
        <v>0</v>
      </c>
      <c r="I29" s="27">
        <f>Z12</f>
        <v>0</v>
      </c>
      <c r="J29" s="27">
        <f>Z13</f>
        <v>0</v>
      </c>
      <c r="K29" s="27">
        <f>Z14</f>
        <v>0</v>
      </c>
      <c r="L29" s="27">
        <f>Z15</f>
        <v>0</v>
      </c>
      <c r="M29" s="27">
        <f>Z16</f>
        <v>0</v>
      </c>
      <c r="N29" s="27">
        <f>Z17</f>
        <v>0</v>
      </c>
      <c r="O29" s="27">
        <f>Z18</f>
        <v>0</v>
      </c>
      <c r="P29" s="27">
        <f>Z19</f>
        <v>0</v>
      </c>
      <c r="Q29" s="27">
        <f>Z20</f>
        <v>0</v>
      </c>
      <c r="R29" s="27">
        <f>Z21</f>
        <v>0</v>
      </c>
      <c r="S29" s="27">
        <f>Z22</f>
        <v>0</v>
      </c>
      <c r="T29" s="27">
        <f>Z23</f>
        <v>0</v>
      </c>
      <c r="U29" s="27">
        <f>Z24</f>
        <v>0</v>
      </c>
      <c r="V29" s="27">
        <f>Z25</f>
        <v>0</v>
      </c>
      <c r="W29" s="27">
        <f>Z26</f>
        <v>0</v>
      </c>
      <c r="X29" s="27">
        <f>Z27</f>
        <v>0</v>
      </c>
      <c r="Y29" s="27">
        <f>Z28</f>
        <v>0</v>
      </c>
      <c r="Z29" s="24">
        <v>0</v>
      </c>
      <c r="AA29" s="25">
        <v>0</v>
      </c>
      <c r="AB29" s="25">
        <v>0</v>
      </c>
      <c r="AC29" s="25">
        <v>0</v>
      </c>
      <c r="AD29" s="26">
        <v>0</v>
      </c>
    </row>
    <row r="30" spans="1:30" ht="15.75" customHeight="1">
      <c r="A30" s="22" t="s">
        <v>127</v>
      </c>
      <c r="B30" s="27">
        <f>AA5</f>
        <v>0.3673094582185491</v>
      </c>
      <c r="C30" s="27">
        <f>AA6</f>
        <v>0</v>
      </c>
      <c r="D30" s="27">
        <f>AA7</f>
        <v>0</v>
      </c>
      <c r="E30" s="27">
        <f>AA8</f>
        <v>0</v>
      </c>
      <c r="F30" s="27">
        <f>AA9</f>
        <v>0</v>
      </c>
      <c r="G30" s="27">
        <f>AA10</f>
        <v>0</v>
      </c>
      <c r="H30" s="27">
        <f>AA11</f>
        <v>0</v>
      </c>
      <c r="I30" s="27">
        <f>AA12</f>
        <v>0</v>
      </c>
      <c r="J30" s="27">
        <f>AA13</f>
        <v>0</v>
      </c>
      <c r="K30" s="27">
        <f>AA14</f>
        <v>0</v>
      </c>
      <c r="L30" s="27">
        <f>AA15</f>
        <v>0</v>
      </c>
      <c r="M30" s="27">
        <f>AA16</f>
        <v>0</v>
      </c>
      <c r="N30" s="27">
        <f>AA17</f>
        <v>0</v>
      </c>
      <c r="O30" s="27">
        <f>AA18</f>
        <v>0</v>
      </c>
      <c r="P30" s="27">
        <f>AA19</f>
        <v>0</v>
      </c>
      <c r="Q30" s="27">
        <f>AA20</f>
        <v>0</v>
      </c>
      <c r="R30" s="27">
        <f>AA21</f>
        <v>0</v>
      </c>
      <c r="S30" s="27">
        <f>AA22</f>
        <v>0</v>
      </c>
      <c r="T30" s="27">
        <f>AA23</f>
        <v>0</v>
      </c>
      <c r="U30" s="27">
        <f>AA24</f>
        <v>0</v>
      </c>
      <c r="V30" s="27">
        <f>AA25</f>
        <v>0</v>
      </c>
      <c r="W30" s="27">
        <f>AA26</f>
        <v>0</v>
      </c>
      <c r="X30" s="27">
        <f>AA27</f>
        <v>0</v>
      </c>
      <c r="Y30" s="27">
        <f>AA28</f>
        <v>0</v>
      </c>
      <c r="Z30" s="27">
        <f>AA29</f>
        <v>0</v>
      </c>
      <c r="AA30" s="24">
        <v>0</v>
      </c>
      <c r="AB30" s="25">
        <v>0</v>
      </c>
      <c r="AC30" s="25">
        <v>0</v>
      </c>
      <c r="AD30" s="26">
        <v>0</v>
      </c>
    </row>
    <row r="31" spans="1:30" ht="15.75" customHeight="1">
      <c r="A31" s="22" t="s">
        <v>131</v>
      </c>
      <c r="B31" s="27">
        <f>AB5</f>
        <v>0</v>
      </c>
      <c r="C31" s="27">
        <f>AB6</f>
        <v>0.3673094582185491</v>
      </c>
      <c r="D31" s="27">
        <f>AB7</f>
        <v>0</v>
      </c>
      <c r="E31" s="27">
        <f>AB8</f>
        <v>0</v>
      </c>
      <c r="F31" s="27">
        <f>AB9</f>
        <v>0</v>
      </c>
      <c r="G31" s="27">
        <f>AB10</f>
        <v>0</v>
      </c>
      <c r="H31" s="27">
        <f>AB11</f>
        <v>0</v>
      </c>
      <c r="I31" s="27">
        <f>AB12</f>
        <v>0</v>
      </c>
      <c r="J31" s="27">
        <f>AB13</f>
        <v>0</v>
      </c>
      <c r="K31" s="27">
        <f>AB14</f>
        <v>0</v>
      </c>
      <c r="L31" s="27">
        <f>AB15</f>
        <v>0</v>
      </c>
      <c r="M31" s="27">
        <f>AB16</f>
        <v>0</v>
      </c>
      <c r="N31" s="27">
        <f>AB17</f>
        <v>0</v>
      </c>
      <c r="O31" s="27">
        <f>AB18</f>
        <v>0</v>
      </c>
      <c r="P31" s="27">
        <f>AB19</f>
        <v>0</v>
      </c>
      <c r="Q31" s="27">
        <f>AB20</f>
        <v>0</v>
      </c>
      <c r="R31" s="27">
        <f>AB21</f>
        <v>0</v>
      </c>
      <c r="S31" s="27">
        <f>AB22</f>
        <v>0</v>
      </c>
      <c r="T31" s="27">
        <f>AB23</f>
        <v>0</v>
      </c>
      <c r="U31" s="27">
        <f>AB24</f>
        <v>0</v>
      </c>
      <c r="V31" s="27">
        <f>AB25</f>
        <v>0</v>
      </c>
      <c r="W31" s="27">
        <f>AB26</f>
        <v>0</v>
      </c>
      <c r="X31" s="27">
        <f>AB27</f>
        <v>0</v>
      </c>
      <c r="Y31" s="27">
        <f>AB28</f>
        <v>0</v>
      </c>
      <c r="Z31" s="27">
        <f>AB29</f>
        <v>0</v>
      </c>
      <c r="AA31" s="27">
        <f>AB30</f>
        <v>0</v>
      </c>
      <c r="AB31" s="24">
        <v>0</v>
      </c>
      <c r="AC31" s="25">
        <v>0</v>
      </c>
      <c r="AD31" s="26">
        <v>0</v>
      </c>
    </row>
    <row r="32" spans="1:30" ht="15.75" customHeight="1">
      <c r="A32" s="22" t="s">
        <v>134</v>
      </c>
      <c r="B32" s="27">
        <f>AC5</f>
        <v>0</v>
      </c>
      <c r="C32" s="27">
        <f>AC6</f>
        <v>0</v>
      </c>
      <c r="D32" s="27">
        <f>AC7</f>
        <v>0</v>
      </c>
      <c r="E32" s="27">
        <f>AC8</f>
        <v>0</v>
      </c>
      <c r="F32" s="27">
        <f>AC9</f>
        <v>0</v>
      </c>
      <c r="G32" s="27">
        <f>AC10</f>
        <v>0</v>
      </c>
      <c r="H32" s="27">
        <f>AC11</f>
        <v>0</v>
      </c>
      <c r="I32" s="27">
        <f>AC12</f>
        <v>0</v>
      </c>
      <c r="J32" s="27">
        <f>AC13</f>
        <v>0</v>
      </c>
      <c r="K32" s="27">
        <f>AC14</f>
        <v>0</v>
      </c>
      <c r="L32" s="27">
        <f>AC15</f>
        <v>0</v>
      </c>
      <c r="M32" s="27">
        <f>AC16</f>
        <v>0</v>
      </c>
      <c r="N32" s="27">
        <f>AC17</f>
        <v>0</v>
      </c>
      <c r="O32" s="27">
        <f>AC18</f>
        <v>0</v>
      </c>
      <c r="P32" s="27">
        <f>AC19</f>
        <v>0</v>
      </c>
      <c r="Q32" s="27">
        <f>AC20</f>
        <v>0</v>
      </c>
      <c r="R32" s="27">
        <f>AC21</f>
        <v>0</v>
      </c>
      <c r="S32" s="27">
        <f>AC22</f>
        <v>0</v>
      </c>
      <c r="T32" s="27">
        <f>AC23</f>
        <v>0</v>
      </c>
      <c r="U32" s="27">
        <f>AC24</f>
        <v>0</v>
      </c>
      <c r="V32" s="27">
        <f>AC25</f>
        <v>0</v>
      </c>
      <c r="W32" s="27">
        <f>AC26</f>
        <v>0.3673094582185491</v>
      </c>
      <c r="X32" s="27">
        <f>AC27</f>
        <v>0</v>
      </c>
      <c r="Y32" s="27">
        <f>AC28</f>
        <v>0</v>
      </c>
      <c r="Z32" s="27">
        <f>AC29</f>
        <v>0</v>
      </c>
      <c r="AA32" s="27">
        <f>AC30</f>
        <v>0</v>
      </c>
      <c r="AB32" s="27">
        <f>AC31</f>
        <v>0</v>
      </c>
      <c r="AC32" s="24">
        <v>0</v>
      </c>
      <c r="AD32" s="26">
        <v>0</v>
      </c>
    </row>
    <row r="33" spans="1:30" ht="15.75" customHeight="1">
      <c r="A33" s="22" t="s">
        <v>139</v>
      </c>
      <c r="B33" s="27">
        <f>AD5</f>
        <v>0</v>
      </c>
      <c r="C33" s="27">
        <f>AD6</f>
        <v>0</v>
      </c>
      <c r="D33" s="27">
        <f>AD7</f>
        <v>0</v>
      </c>
      <c r="E33" s="27">
        <f>AD8</f>
        <v>0</v>
      </c>
      <c r="F33" s="27">
        <f>AD9</f>
        <v>0</v>
      </c>
      <c r="G33" s="27">
        <f>AD10</f>
        <v>0</v>
      </c>
      <c r="H33" s="27">
        <f>AD11</f>
        <v>0.26367831245880025</v>
      </c>
      <c r="I33" s="27">
        <f>AD12</f>
        <v>0</v>
      </c>
      <c r="J33" s="27">
        <f>AD13</f>
        <v>0</v>
      </c>
      <c r="K33" s="27">
        <f>AD14</f>
        <v>0</v>
      </c>
      <c r="L33" s="27">
        <f>AD15</f>
        <v>0</v>
      </c>
      <c r="M33" s="27">
        <f>AD16</f>
        <v>0</v>
      </c>
      <c r="N33" s="27">
        <f>AD17</f>
        <v>0</v>
      </c>
      <c r="O33" s="27">
        <f>AD18</f>
        <v>0</v>
      </c>
      <c r="P33" s="27">
        <f>AD19</f>
        <v>0</v>
      </c>
      <c r="Q33" s="27">
        <f>AD20</f>
        <v>0</v>
      </c>
      <c r="R33" s="27">
        <f>AD21</f>
        <v>0</v>
      </c>
      <c r="S33" s="27">
        <f>AD22</f>
        <v>0</v>
      </c>
      <c r="T33" s="27">
        <f>AD23</f>
        <v>0</v>
      </c>
      <c r="U33" s="27">
        <f>AD24</f>
        <v>0</v>
      </c>
      <c r="V33" s="27">
        <f>AD25</f>
        <v>0</v>
      </c>
      <c r="W33" s="27">
        <f>AD26</f>
        <v>0</v>
      </c>
      <c r="X33" s="27">
        <f>AD27</f>
        <v>0</v>
      </c>
      <c r="Y33" s="27">
        <f>AD28</f>
        <v>0</v>
      </c>
      <c r="Z33" s="27">
        <f>AD29</f>
        <v>0</v>
      </c>
      <c r="AA33" s="27">
        <f>AD30</f>
        <v>0</v>
      </c>
      <c r="AB33" s="27">
        <f>AD31</f>
        <v>0</v>
      </c>
      <c r="AC33" s="27">
        <v>0</v>
      </c>
      <c r="AD33" s="24">
        <v>0</v>
      </c>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Nodes properties</vt:lpstr>
      <vt:lpstr>Conductances determination</vt:lpstr>
      <vt:lpstr>Startup Parameters</vt:lpstr>
      <vt:lpstr>Operation</vt:lpstr>
      <vt:lpstr>Modes</vt:lpstr>
      <vt:lpstr>Nodes thermal properties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2025-02-07T22:30:58Z</dcterms:modified>
</cp:coreProperties>
</file>