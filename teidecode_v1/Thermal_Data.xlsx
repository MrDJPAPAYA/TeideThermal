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7DF24A56-D548-47AC-8500-17C06CA24601}" xr6:coauthVersionLast="47" xr6:coauthVersionMax="47" xr10:uidLastSave="{00000000-0000-0000-0000-000000000000}"/>
  <bookViews>
    <workbookView xWindow="-120" yWindow="-120" windowWidth="29040" windowHeight="15840" xr2:uid="{00000000-000D-0000-FFFF-FFFF00000000}"/>
  </bookViews>
  <sheets>
    <sheet name="Instrucciones de uso" sheetId="9" r:id="rId1"/>
    <sheet name="Nodes properties" sheetId="1" r:id="rId2"/>
    <sheet name="Conductances determination" sheetId="3" r:id="rId3"/>
    <sheet name="Startup Parameters" sheetId="7" r:id="rId4"/>
    <sheet name="Orbital Parameters" sheetId="8" r:id="rId5"/>
    <sheet name="Nodes thermal properties" sheetId="4" r:id="rId6"/>
    <sheet name="Operation" sheetId="5" r:id="rId7"/>
    <sheet name="Modes" sheetId="6" r:id="rId8"/>
    <sheet name="Conductances_between_nodes" sheetId="2"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jKFLR0Am3JTZ+8bb0VcOSu/VdiBw=="/>
    </ext>
  </extLst>
</workbook>
</file>

<file path=xl/calcChain.xml><?xml version="1.0" encoding="utf-8"?>
<calcChain xmlns="http://schemas.openxmlformats.org/spreadsheetml/2006/main">
  <c r="F8" i="5" l="1"/>
  <c r="D8" i="5"/>
  <c r="B36" i="5"/>
  <c r="C8" i="5"/>
  <c r="B19" i="5"/>
  <c r="B26" i="5"/>
  <c r="B32" i="5"/>
  <c r="D33" i="2"/>
  <c r="E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3" i="5"/>
  <c r="D3" i="5" s="1"/>
  <c r="E3" i="5" s="1"/>
  <c r="F3" i="5" s="1"/>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B9" i="5"/>
  <c r="B10" i="5"/>
  <c r="B11" i="5"/>
  <c r="B12" i="5"/>
  <c r="B13" i="5"/>
  <c r="B14" i="5"/>
  <c r="B15" i="5"/>
  <c r="B16" i="5"/>
  <c r="B17" i="5"/>
  <c r="B18" i="5"/>
  <c r="B20" i="5"/>
  <c r="B21" i="5"/>
  <c r="B22" i="5"/>
  <c r="B23" i="5"/>
  <c r="B24" i="5"/>
  <c r="B25" i="5"/>
  <c r="B27" i="5"/>
  <c r="B28" i="5"/>
  <c r="B29" i="5"/>
  <c r="B30" i="5"/>
  <c r="B31" i="5"/>
  <c r="B33" i="5"/>
  <c r="B34" i="5"/>
  <c r="B35"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<sst xmlns="http://schemas.openxmlformats.org/spreadsheetml/2006/main" count="826" uniqueCount="307">
  <si>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</si>
  <si>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</si>
  <si>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</si>
  <si>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</si>
  <si>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</si>
  <si>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</si>
  <si>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</si>
  <si>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</si>
  <si>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</si>
  <si>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</si>
  <si>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</si>
  <si>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</si>
  <si>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</si>
  <si>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</si>
  <si>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</si>
  <si>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</si>
  <si>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</si>
  <si>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</si>
  <si>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</si>
  <si>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</si>
  <si>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</si>
  <si>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</si>
  <si>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</si>
  <si>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</si>
  <si>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</si>
  <si>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</si>
  <si>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</si>
  <si>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</si>
  <si>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</si>
  <si>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</si>
  <si>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</si>
  <si>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</si>
  <si>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</si>
  <si>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</si>
  <si>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</si>
  <si>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</si>
  <si>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</si>
  <si>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</si>
  <si>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</si>
  <si>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</si>
  <si>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</si>
  <si>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</si>
  <si>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</si>
  <si>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</si>
  <si>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</si>
  <si>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</si>
  <si>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</si>
  <si>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</si>
  <si>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</si>
  <si>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</si>
  <si>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</si>
  <si>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</si>
  <si>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</si>
  <si>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</si>
  <si>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</si>
  <si>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</si>
  <si>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</si>
  <si>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</si>
  <si>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</si>
  <si>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</si>
  <si>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</si>
  <si>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</si>
  <si>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</si>
  <si>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</si>
  <si>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</si>
  <si>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</si>
  <si>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</si>
  <si>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</si>
  <si>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</si>
  <si>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</si>
  <si>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</si>
  <si>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</si>
  <si>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</si>
  <si>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</si>
  <si>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</si>
  <si>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</si>
  <si>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</si>
  <si>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</si>
  <si>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</si>
  <si>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</si>
  <si>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</si>
  <si>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</si>
  <si>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</si>
  <si>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</si>
  <si>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</si>
  <si>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</si>
  <si>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</si>
  <si>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</si>
  <si>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</si>
  <si>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</si>
  <si>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</si>
  <si>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</si>
  <si>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</si>
  <si>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</si>
  <si>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</si>
  <si>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</si>
  <si>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</si>
  <si>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</si>
  <si>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</si>
  <si>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</si>
  <si>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</si>
  <si>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</si>
  <si>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</si>
  <si>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</si>
  <si>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</si>
  <si>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</si>
  <si>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</si>
  <si>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</si>
  <si>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</si>
  <si>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</si>
  <si>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</si>
  <si>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</si>
  <si>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</si>
  <si>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</si>
  <si>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</si>
  <si>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</si>
  <si>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</si>
  <si>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</si>
  <si>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</si>
  <si>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</si>
  <si>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</si>
  <si>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</si>
  <si>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</si>
  <si>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</si>
  <si>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</si>
  <si>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</si>
  <si>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</si>
  <si>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</si>
  <si>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</si>
  <si>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</si>
  <si>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</si>
  <si>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</si>
  <si>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</si>
  <si>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</si>
  <si>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</si>
  <si>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</si>
  <si>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</si>
  <si>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</si>
  <si>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</si>
  <si>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</si>
  <si>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</si>
  <si>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</si>
  <si>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</si>
  <si>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</si>
  <si>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</si>
  <si>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</si>
  <si>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</si>
  <si>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</si>
  <si>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</si>
  <si>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</si>
  <si>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</si>
  <si>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</si>
  <si>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</si>
  <si>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</si>
  <si>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</si>
  <si>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</si>
  <si>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</si>
  <si>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</si>
  <si>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</si>
  <si>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</si>
  <si>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</si>
  <si>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</si>
  <si>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</si>
  <si>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</si>
  <si>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</si>
  <si>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</si>
  <si>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</si>
  <si>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</si>
  <si>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</si>
  <si>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</si>
  <si>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</si>
  <si>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</si>
  <si>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</si>
  <si>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</si>
  <si>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</si>
  <si>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</si>
  <si>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</si>
  <si>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</si>
  <si>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</si>
  <si>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</si>
  <si>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</si>
  <si>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</si>
  <si>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</si>
  <si>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</si>
  <si>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</si>
  <si>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</si>
  <si>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</si>
  <si>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</si>
  <si>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</si>
  <si>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</si>
  <si>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</si>
  <si>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</si>
  <si>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</si>
  <si>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</si>
  <si>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</si>
  <si>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</si>
  <si>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</si>
  <si>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</si>
  <si>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</si>
  <si>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</si>
  <si>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</si>
  <si>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</si>
  <si>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</si>
  <si>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</si>
  <si>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</si>
  <si>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</si>
  <si>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</si>
  <si>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</si>
  <si>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</si>
  <si>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</si>
  <si>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</si>
  <si>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</si>
  <si>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</si>
  <si>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</si>
  <si>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</si>
  <si>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</si>
  <si>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</si>
  <si>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</si>
  <si>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</si>
  <si>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</si>
  <si>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</si>
  <si>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</si>
  <si>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</si>
  <si>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</si>
  <si>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</si>
  <si>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</si>
  <si>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</si>
  <si>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</si>
  <si>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</si>
  <si>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</si>
  <si>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</si>
  <si>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</si>
  <si>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</si>
  <si>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</si>
  <si>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</si>
  <si>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</si>
  <si>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</si>
  <si>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</si>
  <si>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</si>
  <si>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</si>
  <si>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</si>
  <si>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</si>
  <si>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</si>
  <si>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</si>
  <si>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</si>
  <si>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</si>
  <si>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</si>
  <si>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</si>
  <si>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</si>
  <si>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</si>
  <si>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</si>
  <si>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</si>
  <si>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</si>
  <si>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</si>
  <si>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</si>
  <si>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</si>
  <si>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</si>
  <si>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</si>
  <si>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</si>
  <si>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</si>
  <si>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</si>
  <si>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</si>
  <si>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</si>
  <si>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</si>
  <si>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</si>
  <si>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</si>
  <si>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</si>
  <si>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</si>
  <si>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</si>
  <si>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</si>
  <si>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</si>
  <si>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</si>
  <si>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</si>
  <si>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</si>
  <si>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</si>
  <si>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Nodes properties:</t>
  </si>
  <si>
    <t xml:space="preserve"> Contiene propiedades de interés de los distintos nodos para el análisis, no tiene efectos sobre la ejecución del código por lo que puede ser modificada libremente.</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</si>
  <si>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</si>
  <si>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</si>
  <si>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</si>
  <si>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</si>
  <si>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</si>
  <si>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</si>
  <si>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</si>
  <si>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</si>
  <si>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</si>
  <si>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errores importantes en los resultados, fluctuaciones o incluso divergencia. En general, cuando se espera que existan cambios rápidos en la temperatura (ej; modo payload) se debe utilizar intervalos de tiempo más reducidos. </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</si>
  <si>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</si>
  <si>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</si>
  <si>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</si>
  <si>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</si>
  <si>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</si>
  <si>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</si>
  <si>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</si>
  <si>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</si>
  <si>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Algunos parametros a introducir aquí son: Area radiativa, area que está expuesta al exterior y disponible para radiar o absorber calor .Emisividad y absortancia, valores que representan las capacidades de absorción y emisión del material para espectro completo y infrarrojos respectivamente. Componentes del vector normal, dirreción del vector normal a la superficie externa, usado para calcular angulos de incidencia, debe estar normalizado (módulo 1). Radiación, booleano que determina si un nodo tiene superficie con la que radiar al entorno.</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</si>
  <si>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</si>
  <si>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</si>
  <si>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</si>
  <si>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</si>
  <si>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</si>
  <si>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 Ahora mismo los nodos con posibilidad de tener contacto entre sí se colocan en rojo.</t>
    </r>
  </si>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</sst>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2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s>
  <fills count="23">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s>
  <borders count="6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160">
    <xf numFmtId="0" fontId="0" fillId="0" borderId="0" xfId="0"/>
    <xf numFmtId="0" fontId="9" fillId="0" borderId="0" xfId="0" applyFont="1"/>
    <xf numFmtId="0" fontId="9" fillId="2" borderId="0" xfId="0" applyFont="1" applyFill="1"/>
    <xf numFmtId="0" fontId="10" fillId="2" borderId="0" xfId="0" applyFont="1" applyFill="1"/>
    <xf numFmtId="0" fontId="9" fillId="2" borderId="1" xfId="0" applyFont="1" applyFill="1" applyBorder="1"/>
    <xf numFmtId="49" fontId="9" fillId="0" borderId="0" xfId="0" applyNumberFormat="1" applyFont="1"/>
    <xf numFmtId="0" fontId="11" fillId="3" borderId="2" xfId="0" applyFont="1" applyFill="1" applyBorder="1"/>
    <xf numFmtId="0" fontId="10" fillId="0" borderId="0" xfId="0" applyFont="1"/>
    <xf numFmtId="0" fontId="9" fillId="4" borderId="1" xfId="0" applyFont="1" applyFill="1" applyBorder="1"/>
    <xf numFmtId="0" fontId="9" fillId="5" borderId="1" xfId="0" applyFont="1" applyFill="1" applyBorder="1"/>
    <xf numFmtId="0" fontId="9" fillId="6" borderId="1" xfId="0" applyFont="1" applyFill="1" applyBorder="1"/>
    <xf numFmtId="0" fontId="9" fillId="7" borderId="1" xfId="0" applyFont="1" applyFill="1" applyBorder="1"/>
    <xf numFmtId="0" fontId="9" fillId="8" borderId="0" xfId="0" applyFont="1" applyFill="1"/>
    <xf numFmtId="0" fontId="12" fillId="9" borderId="0" xfId="0" applyFont="1" applyFill="1" applyAlignment="1">
      <alignment horizontal="right"/>
    </xf>
    <xf numFmtId="0" fontId="13" fillId="9" borderId="0" xfId="0" applyFont="1" applyFill="1" applyAlignment="1">
      <alignment horizontal="right"/>
    </xf>
    <xf numFmtId="164" fontId="11" fillId="0" borderId="0" xfId="0" applyNumberFormat="1" applyFont="1"/>
    <xf numFmtId="0" fontId="11" fillId="0" borderId="0" xfId="0" applyFont="1"/>
    <xf numFmtId="0" fontId="9" fillId="0" borderId="0" xfId="0" quotePrefix="1" applyFont="1"/>
    <xf numFmtId="0" fontId="11" fillId="3" borderId="0" xfId="0" applyFont="1" applyFill="1"/>
    <xf numFmtId="0" fontId="9" fillId="0" borderId="0" xfId="0" applyFont="1" applyAlignment="1">
      <alignment horizontal="center"/>
    </xf>
    <xf numFmtId="165" fontId="9" fillId="0" borderId="0" xfId="0" applyNumberFormat="1" applyFont="1"/>
    <xf numFmtId="165" fontId="10" fillId="0" borderId="0" xfId="0" applyNumberFormat="1" applyFont="1"/>
    <xf numFmtId="165" fontId="14" fillId="4" borderId="1" xfId="0" applyNumberFormat="1" applyFont="1" applyFill="1" applyBorder="1" applyAlignment="1">
      <alignment horizontal="center"/>
    </xf>
    <xf numFmtId="165" fontId="9" fillId="4" borderId="1" xfId="0" applyNumberFormat="1" applyFont="1" applyFill="1" applyBorder="1" applyAlignment="1">
      <alignment horizontal="center"/>
    </xf>
    <xf numFmtId="165" fontId="9" fillId="10" borderId="1" xfId="0" applyNumberFormat="1" applyFont="1" applyFill="1" applyBorder="1" applyAlignment="1">
      <alignment horizontal="center"/>
    </xf>
    <xf numFmtId="165" fontId="9" fillId="0" borderId="1" xfId="0" applyNumberFormat="1" applyFont="1" applyBorder="1" applyAlignment="1">
      <alignment horizontal="center"/>
    </xf>
    <xf numFmtId="165" fontId="9" fillId="11" borderId="1" xfId="0" applyNumberFormat="1" applyFont="1" applyFill="1" applyBorder="1" applyAlignment="1">
      <alignment horizontal="center"/>
    </xf>
    <xf numFmtId="165" fontId="9" fillId="12" borderId="1" xfId="0" applyNumberFormat="1" applyFont="1" applyFill="1" applyBorder="1" applyAlignment="1">
      <alignment horizontal="center"/>
    </xf>
    <xf numFmtId="0" fontId="15" fillId="0" borderId="3" xfId="0" applyFont="1" applyBorder="1"/>
    <xf numFmtId="0" fontId="10" fillId="0" borderId="4" xfId="0" applyFont="1" applyBorder="1"/>
    <xf numFmtId="0" fontId="10" fillId="0" borderId="5" xfId="0" applyFont="1" applyBorder="1"/>
    <xf numFmtId="0" fontId="10" fillId="13" borderId="0" xfId="0" applyFont="1" applyFill="1"/>
    <xf numFmtId="0" fontId="15" fillId="0" borderId="6" xfId="0" applyFont="1" applyBorder="1"/>
    <xf numFmtId="0" fontId="10" fillId="9" borderId="0" xfId="0" applyFont="1" applyFill="1"/>
    <xf numFmtId="0" fontId="15" fillId="0" borderId="6" xfId="0" applyFont="1" applyBorder="1" applyAlignment="1">
      <alignment horizontal="center"/>
    </xf>
    <xf numFmtId="0" fontId="15" fillId="0" borderId="1" xfId="0" applyFont="1" applyBorder="1" applyAlignment="1">
      <alignment horizontal="center"/>
    </xf>
    <xf numFmtId="0" fontId="15" fillId="0" borderId="9" xfId="0" applyFont="1" applyBorder="1" applyAlignment="1">
      <alignment horizontal="center"/>
    </xf>
    <xf numFmtId="0" fontId="10" fillId="14" borderId="0" xfId="0" applyFont="1" applyFill="1"/>
    <xf numFmtId="0" fontId="10" fillId="15" borderId="6" xfId="0" applyFont="1" applyFill="1" applyBorder="1" applyAlignment="1">
      <alignment horizontal="center"/>
    </xf>
    <xf numFmtId="2" fontId="10" fillId="15" borderId="1" xfId="0" applyNumberFormat="1" applyFont="1" applyFill="1" applyBorder="1" applyAlignment="1">
      <alignment horizontal="center"/>
    </xf>
    <xf numFmtId="0" fontId="10" fillId="15" borderId="9" xfId="0" applyFont="1" applyFill="1" applyBorder="1" applyAlignment="1">
      <alignment horizontal="center"/>
    </xf>
    <xf numFmtId="0" fontId="10" fillId="5" borderId="0" xfId="0" applyFont="1" applyFill="1"/>
    <xf numFmtId="0" fontId="10" fillId="0" borderId="6" xfId="0" applyFont="1" applyBorder="1" applyAlignment="1">
      <alignment horizontal="center"/>
    </xf>
    <xf numFmtId="0" fontId="10" fillId="0" borderId="1" xfId="0" applyFont="1" applyBorder="1" applyAlignment="1">
      <alignment horizontal="center"/>
    </xf>
    <xf numFmtId="0" fontId="10" fillId="0" borderId="9" xfId="0" applyFont="1" applyBorder="1" applyAlignment="1">
      <alignment horizontal="center"/>
    </xf>
    <xf numFmtId="0" fontId="15" fillId="16" borderId="10" xfId="0" applyFont="1" applyFill="1" applyBorder="1"/>
    <xf numFmtId="0" fontId="10" fillId="16" borderId="11" xfId="0" applyFont="1" applyFill="1" applyBorder="1" applyAlignment="1">
      <alignment horizontal="right"/>
    </xf>
    <xf numFmtId="0" fontId="10" fillId="0" borderId="12" xfId="0" applyFont="1" applyBorder="1" applyAlignment="1">
      <alignment horizontal="center"/>
    </xf>
    <xf numFmtId="0" fontId="10" fillId="0" borderId="13" xfId="0" applyFont="1" applyBorder="1" applyAlignment="1">
      <alignment horizontal="center"/>
    </xf>
    <xf numFmtId="0" fontId="10" fillId="0" borderId="14" xfId="0" applyFont="1" applyBorder="1" applyAlignment="1">
      <alignment horizontal="center"/>
    </xf>
    <xf numFmtId="0" fontId="10" fillId="9" borderId="15" xfId="0" applyFont="1" applyFill="1" applyBorder="1"/>
    <xf numFmtId="0" fontId="10" fillId="9" borderId="16" xfId="0" applyFont="1" applyFill="1" applyBorder="1" applyAlignment="1">
      <alignment horizontal="right"/>
    </xf>
    <xf numFmtId="0" fontId="10" fillId="0" borderId="6" xfId="0" applyFont="1" applyBorder="1"/>
    <xf numFmtId="0" fontId="10" fillId="0" borderId="9" xfId="0" applyFont="1" applyBorder="1" applyAlignment="1">
      <alignment horizontal="right"/>
    </xf>
    <xf numFmtId="166" fontId="10" fillId="0" borderId="9" xfId="0" applyNumberFormat="1" applyFont="1" applyBorder="1" applyAlignment="1">
      <alignment horizontal="right"/>
    </xf>
    <xf numFmtId="0" fontId="15" fillId="0" borderId="9" xfId="0" applyFont="1" applyBorder="1" applyAlignment="1">
      <alignment horizontal="right"/>
    </xf>
    <xf numFmtId="0" fontId="10" fillId="0" borderId="17" xfId="0" applyFont="1" applyBorder="1"/>
    <xf numFmtId="0" fontId="10" fillId="0" borderId="18" xfId="0" applyFont="1" applyBorder="1" applyAlignment="1">
      <alignment horizontal="right"/>
    </xf>
    <xf numFmtId="0" fontId="10" fillId="9" borderId="12" xfId="0" applyFont="1" applyFill="1" applyBorder="1"/>
    <xf numFmtId="167" fontId="10" fillId="9" borderId="14" xfId="0" applyNumberFormat="1" applyFont="1" applyFill="1" applyBorder="1" applyAlignment="1">
      <alignment horizontal="right"/>
    </xf>
    <xf numFmtId="0" fontId="10" fillId="14" borderId="15" xfId="0" applyFont="1" applyFill="1" applyBorder="1"/>
    <xf numFmtId="0" fontId="10" fillId="14" borderId="16" xfId="0" applyFont="1" applyFill="1" applyBorder="1" applyAlignment="1">
      <alignment horizontal="right"/>
    </xf>
    <xf numFmtId="0" fontId="10" fillId="14" borderId="12" xfId="0" applyFont="1" applyFill="1" applyBorder="1"/>
    <xf numFmtId="2" fontId="10" fillId="14" borderId="14" xfId="0" applyNumberFormat="1" applyFont="1" applyFill="1" applyBorder="1" applyAlignment="1">
      <alignment horizontal="right"/>
    </xf>
    <xf numFmtId="167" fontId="10" fillId="0" borderId="18" xfId="0" applyNumberFormat="1" applyFont="1" applyBorder="1" applyAlignment="1">
      <alignment horizontal="right"/>
    </xf>
    <xf numFmtId="0" fontId="15" fillId="16" borderId="19" xfId="0" applyFont="1" applyFill="1" applyBorder="1"/>
    <xf numFmtId="0" fontId="10" fillId="16" borderId="20" xfId="0" applyFont="1" applyFill="1" applyBorder="1" applyAlignment="1">
      <alignment horizontal="right"/>
    </xf>
    <xf numFmtId="0" fontId="10" fillId="13" borderId="21" xfId="0" applyFont="1" applyFill="1" applyBorder="1"/>
    <xf numFmtId="0" fontId="10" fillId="13" borderId="22" xfId="0" applyFont="1" applyFill="1" applyBorder="1" applyAlignment="1">
      <alignment horizontal="right"/>
    </xf>
    <xf numFmtId="0" fontId="10" fillId="5" borderId="21" xfId="0" applyFont="1" applyFill="1" applyBorder="1"/>
    <xf numFmtId="0" fontId="10" fillId="5" borderId="22" xfId="0" applyFont="1" applyFill="1" applyBorder="1" applyAlignment="1">
      <alignment horizontal="right"/>
    </xf>
    <xf numFmtId="0" fontId="9" fillId="13" borderId="0" xfId="0" applyFont="1" applyFill="1"/>
    <xf numFmtId="0" fontId="9" fillId="9" borderId="0" xfId="0" applyFont="1" applyFill="1"/>
    <xf numFmtId="0" fontId="9" fillId="9" borderId="0" xfId="0" quotePrefix="1" applyFont="1" applyFill="1"/>
    <xf numFmtId="0" fontId="9" fillId="13" borderId="0" xfId="0" quotePrefix="1" applyFont="1" applyFill="1"/>
    <xf numFmtId="49" fontId="9" fillId="13" borderId="0" xfId="0" applyNumberFormat="1" applyFont="1" applyFill="1"/>
    <xf numFmtId="49" fontId="9" fillId="9" borderId="0" xfId="0" applyNumberFormat="1" applyFont="1" applyFill="1"/>
    <xf numFmtId="164" fontId="9" fillId="13" borderId="0" xfId="0" applyNumberFormat="1" applyFont="1" applyFill="1"/>
    <xf numFmtId="0" fontId="9" fillId="3" borderId="2" xfId="0" applyFont="1" applyFill="1" applyBorder="1"/>
    <xf numFmtId="0" fontId="9" fillId="3" borderId="0" xfId="0" applyFont="1" applyFill="1"/>
    <xf numFmtId="0" fontId="8" fillId="0" borderId="0" xfId="0" applyFont="1"/>
    <xf numFmtId="0" fontId="8" fillId="0" borderId="0" xfId="0" applyFont="1" applyAlignment="1">
      <alignment horizontal="center"/>
    </xf>
    <xf numFmtId="0" fontId="0" fillId="0" borderId="0" xfId="0" applyAlignment="1">
      <alignment horizontal="right"/>
    </xf>
    <xf numFmtId="0" fontId="8"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0" fillId="0" borderId="33" xfId="0" applyBorder="1" applyAlignment="1">
      <alignment horizontal="center"/>
    </xf>
    <xf numFmtId="0" fontId="8" fillId="17" borderId="32" xfId="0" applyFont="1" applyFill="1" applyBorder="1" applyAlignment="1">
      <alignment horizontal="center"/>
    </xf>
    <xf numFmtId="0" fontId="0" fillId="0" borderId="39" xfId="0" applyBorder="1" applyAlignment="1">
      <alignment horizontal="center"/>
    </xf>
    <xf numFmtId="0" fontId="0" fillId="0" borderId="2" xfId="0" applyBorder="1"/>
    <xf numFmtId="0" fontId="0" fillId="18" borderId="36" xfId="0" applyFill="1" applyBorder="1" applyAlignment="1">
      <alignment horizontal="center"/>
    </xf>
    <xf numFmtId="0" fontId="0" fillId="18" borderId="33" xfId="0" applyFill="1" applyBorder="1" applyAlignment="1">
      <alignment horizontal="center"/>
    </xf>
    <xf numFmtId="0" fontId="0" fillId="18" borderId="39" xfId="0" applyFill="1" applyBorder="1" applyAlignment="1">
      <alignment horizontal="center"/>
    </xf>
    <xf numFmtId="0" fontId="0" fillId="18" borderId="37" xfId="0" applyFill="1" applyBorder="1" applyAlignment="1">
      <alignment horizontal="center"/>
    </xf>
    <xf numFmtId="0" fontId="0" fillId="0" borderId="23" xfId="0" applyBorder="1"/>
    <xf numFmtId="0" fontId="0" fillId="0" borderId="29" xfId="0" applyBorder="1"/>
    <xf numFmtId="0" fontId="0" fillId="0" borderId="44" xfId="0" applyBorder="1"/>
    <xf numFmtId="0" fontId="0" fillId="0" borderId="45" xfId="0" applyBorder="1"/>
    <xf numFmtId="0" fontId="0" fillId="0" borderId="46" xfId="0" applyBorder="1"/>
    <xf numFmtId="0" fontId="0" fillId="0" borderId="47" xfId="0" applyBorder="1"/>
    <xf numFmtId="0" fontId="0" fillId="0" borderId="49" xfId="0" applyBorder="1"/>
    <xf numFmtId="0" fontId="0" fillId="0" borderId="33" xfId="0" applyBorder="1"/>
    <xf numFmtId="0" fontId="0" fillId="0" borderId="34" xfId="0" applyBorder="1"/>
    <xf numFmtId="0" fontId="0" fillId="19" borderId="50" xfId="0" applyFill="1" applyBorder="1"/>
    <xf numFmtId="0" fontId="0" fillId="19" borderId="36" xfId="0" applyFill="1" applyBorder="1"/>
    <xf numFmtId="0" fontId="0" fillId="19" borderId="37" xfId="0" applyFill="1" applyBorder="1"/>
    <xf numFmtId="0" fontId="0" fillId="0" borderId="52" xfId="0" applyBorder="1" applyAlignment="1">
      <alignment horizontal="center"/>
    </xf>
    <xf numFmtId="0" fontId="0" fillId="0" borderId="53" xfId="0" applyBorder="1" applyAlignment="1">
      <alignment horizontal="center"/>
    </xf>
    <xf numFmtId="0" fontId="8" fillId="0" borderId="53" xfId="0" applyFont="1" applyBorder="1" applyAlignment="1">
      <alignment horizontal="center"/>
    </xf>
    <xf numFmtId="0" fontId="0" fillId="0" borderId="54" xfId="0" applyBorder="1" applyAlignment="1">
      <alignment horizontal="center"/>
    </xf>
    <xf numFmtId="0" fontId="7" fillId="0" borderId="2" xfId="0" applyFont="1" applyBorder="1"/>
    <xf numFmtId="0" fontId="8" fillId="0" borderId="42" xfId="0" applyFont="1" applyBorder="1" applyAlignment="1">
      <alignment horizontal="center"/>
    </xf>
    <xf numFmtId="0" fontId="8" fillId="0" borderId="41" xfId="0" applyFont="1" applyBorder="1" applyAlignment="1">
      <alignment horizontal="center"/>
    </xf>
    <xf numFmtId="0" fontId="0" fillId="0" borderId="41" xfId="0" applyBorder="1" applyAlignment="1">
      <alignment horizontal="center"/>
    </xf>
    <xf numFmtId="0" fontId="0" fillId="0" borderId="5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5" xfId="0" applyBorder="1" applyAlignment="1">
      <alignment horizontal="center"/>
    </xf>
    <xf numFmtId="0" fontId="0" fillId="0" borderId="27" xfId="0" applyBorder="1" applyAlignment="1">
      <alignment horizontal="center"/>
    </xf>
    <xf numFmtId="0" fontId="0" fillId="0" borderId="44" xfId="0" applyBorder="1" applyAlignment="1">
      <alignment horizontal="center"/>
    </xf>
    <xf numFmtId="0" fontId="0" fillId="0" borderId="28" xfId="0" applyBorder="1" applyAlignment="1">
      <alignment horizontal="center"/>
    </xf>
    <xf numFmtId="0" fontId="0" fillId="0" borderId="45" xfId="0" applyBorder="1" applyAlignment="1">
      <alignment horizontal="center"/>
    </xf>
    <xf numFmtId="0" fontId="0" fillId="0" borderId="58" xfId="0" applyBorder="1" applyAlignment="1">
      <alignment horizontal="center"/>
    </xf>
    <xf numFmtId="0" fontId="0" fillId="0" borderId="59" xfId="0" applyBorder="1" applyAlignment="1">
      <alignment horizontal="center"/>
    </xf>
    <xf numFmtId="0" fontId="0" fillId="18" borderId="43" xfId="0" applyFill="1" applyBorder="1"/>
    <xf numFmtId="0" fontId="0" fillId="18" borderId="40" xfId="0" applyFill="1" applyBorder="1"/>
    <xf numFmtId="0" fontId="0" fillId="18" borderId="57" xfId="0" applyFill="1" applyBorder="1"/>
    <xf numFmtId="0" fontId="6" fillId="0" borderId="33" xfId="0" applyFont="1" applyBorder="1" applyAlignment="1">
      <alignment horizontal="center"/>
    </xf>
    <xf numFmtId="0" fontId="6" fillId="0" borderId="30" xfId="0" applyFont="1" applyBorder="1" applyAlignment="1">
      <alignment horizontal="center"/>
    </xf>
    <xf numFmtId="0" fontId="6" fillId="0" borderId="38" xfId="0" applyFont="1" applyBorder="1" applyAlignment="1">
      <alignment horizontal="center"/>
    </xf>
    <xf numFmtId="0" fontId="5" fillId="19" borderId="36" xfId="0" applyFont="1" applyFill="1" applyBorder="1"/>
    <xf numFmtId="0" fontId="4" fillId="0" borderId="0" xfId="0" applyFont="1"/>
    <xf numFmtId="0" fontId="0" fillId="0" borderId="28" xfId="0" applyBorder="1"/>
    <xf numFmtId="0" fontId="3" fillId="0" borderId="0" xfId="0" applyFont="1"/>
    <xf numFmtId="0" fontId="3" fillId="0" borderId="0" xfId="0" applyFont="1" applyAlignment="1">
      <alignment wrapText="1"/>
    </xf>
    <xf numFmtId="0" fontId="0" fillId="0" borderId="0" xfId="0" applyAlignment="1">
      <alignment wrapText="1"/>
    </xf>
    <xf numFmtId="0" fontId="15" fillId="0" borderId="0" xfId="0" applyFont="1" applyAlignment="1">
      <alignment wrapText="1"/>
    </xf>
    <xf numFmtId="0" fontId="17" fillId="0" borderId="0" xfId="0" applyFont="1" applyAlignment="1">
      <alignment wrapText="1"/>
    </xf>
    <xf numFmtId="0" fontId="18" fillId="0" borderId="0" xfId="0" applyFont="1" applyAlignment="1">
      <alignment wrapText="1"/>
    </xf>
    <xf numFmtId="0" fontId="15" fillId="19" borderId="24" xfId="0" applyFont="1" applyFill="1" applyBorder="1" applyAlignment="1">
      <alignment vertical="center" wrapText="1"/>
    </xf>
    <xf numFmtId="0" fontId="15" fillId="19" borderId="31" xfId="0" applyFont="1" applyFill="1" applyBorder="1" applyAlignment="1">
      <alignment vertical="center" wrapText="1"/>
    </xf>
    <xf numFmtId="0" fontId="15" fillId="19" borderId="30" xfId="0" applyFont="1" applyFill="1" applyBorder="1" applyAlignment="1">
      <alignment vertical="center" wrapText="1"/>
    </xf>
    <xf numFmtId="0" fontId="15" fillId="19" borderId="48" xfId="0" applyFont="1" applyFill="1" applyBorder="1" applyAlignment="1">
      <alignment vertical="center" wrapText="1"/>
    </xf>
    <xf numFmtId="0" fontId="15" fillId="22" borderId="25" xfId="0" applyFont="1" applyFill="1" applyBorder="1" applyAlignment="1">
      <alignment horizontal="center" vertical="center" wrapText="1"/>
    </xf>
    <xf numFmtId="0" fontId="15" fillId="22" borderId="26" xfId="0" applyFont="1" applyFill="1" applyBorder="1" applyAlignment="1">
      <alignment horizontal="center" vertical="center" wrapText="1"/>
    </xf>
    <xf numFmtId="0" fontId="15" fillId="22" borderId="55" xfId="0" applyFont="1" applyFill="1" applyBorder="1" applyAlignment="1">
      <alignment horizontal="center" vertical="center" wrapText="1"/>
    </xf>
    <xf numFmtId="0" fontId="15" fillId="21" borderId="25" xfId="0" applyFont="1" applyFill="1" applyBorder="1" applyAlignment="1">
      <alignment horizontal="center" vertical="center" wrapText="1"/>
    </xf>
    <xf numFmtId="0" fontId="15" fillId="21" borderId="26" xfId="0" applyFont="1" applyFill="1" applyBorder="1" applyAlignment="1">
      <alignment horizontal="center" vertical="center" wrapText="1"/>
    </xf>
    <xf numFmtId="0" fontId="15" fillId="21" borderId="55" xfId="0" applyFont="1" applyFill="1" applyBorder="1" applyAlignment="1">
      <alignment horizontal="center" vertical="center" wrapText="1"/>
    </xf>
    <xf numFmtId="0" fontId="15" fillId="20" borderId="24" xfId="0" applyFont="1" applyFill="1" applyBorder="1"/>
    <xf numFmtId="0" fontId="15" fillId="0" borderId="0" xfId="0" applyFont="1"/>
    <xf numFmtId="0" fontId="15" fillId="20" borderId="24" xfId="0" applyFont="1" applyFill="1" applyBorder="1" applyAlignment="1">
      <alignment horizontal="center" vertical="center"/>
    </xf>
    <xf numFmtId="0" fontId="15" fillId="17" borderId="35" xfId="0" applyFont="1" applyFill="1" applyBorder="1" applyAlignment="1">
      <alignment horizontal="center" vertical="center"/>
    </xf>
    <xf numFmtId="0" fontId="15" fillId="17" borderId="36" xfId="0" applyFont="1" applyFill="1" applyBorder="1" applyAlignment="1">
      <alignment horizontal="center" vertical="center"/>
    </xf>
    <xf numFmtId="0" fontId="15" fillId="17" borderId="51" xfId="0" applyFont="1" applyFill="1" applyBorder="1" applyAlignment="1">
      <alignment horizontal="center" vertical="center"/>
    </xf>
    <xf numFmtId="0" fontId="17" fillId="0" borderId="0" xfId="0" applyFont="1"/>
    <xf numFmtId="0" fontId="2" fillId="0" borderId="0" xfId="0" applyFont="1" applyAlignment="1">
      <alignment wrapText="1"/>
    </xf>
    <xf numFmtId="0" fontId="2" fillId="0" borderId="31" xfId="0" applyFont="1" applyBorder="1" applyAlignment="1">
      <alignment horizontal="center"/>
    </xf>
    <xf numFmtId="0" fontId="15" fillId="0" borderId="7" xfId="0" applyFont="1" applyBorder="1" applyAlignment="1">
      <alignment horizontal="center"/>
    </xf>
    <xf numFmtId="0" fontId="16" fillId="0" borderId="8" xfId="0" applyFont="1" applyBorder="1"/>
  </cellXfs>
  <cellStyles count="1">
    <cellStyle name="Normal" xfId="0" builtinId="0"/>
  </cellStyles>
  <dxfs count="7">
    <dxf>
      <font>
        <b val="0"/>
      </font>
    </dxf>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6"/>
      <tableStyleElement type="firstRowStripe" dxfId="5"/>
      <tableStyleElement type="secondRowStripe" dxfId="4"/>
    </tableStyle>
    <tableStyle name="Conductances between nodes-style" pivot="0" count="3" xr9:uid="{00000000-0011-0000-FFFF-FFFF01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45</xdr:row>
      <xdr:rowOff>161925</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0" y="9029700"/>
          <a:ext cx="7343775" cy="5124450"/>
        </a:xfrm>
        <a:prstGeom prst="rect">
          <a:avLst/>
        </a:prstGeom>
        <a:noFill/>
      </xdr:spPr>
    </xdr:pic>
    <xdr:clientData fLocksWithSheet="0"/>
  </xdr:oneCellAnchor>
  <xdr:oneCellAnchor>
    <xdr:from>
      <xdr:col>13</xdr:col>
      <xdr:colOff>238125</xdr:colOff>
      <xdr:row>46</xdr:row>
      <xdr:rowOff>0</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429500" y="9067800"/>
          <a:ext cx="6753225" cy="5038725"/>
        </a:xfrm>
        <a:prstGeom prst="rect">
          <a:avLst/>
        </a:prstGeom>
        <a:noFill/>
      </xdr:spPr>
    </xdr:pic>
    <xdr:clientData fLocksWithSheet="0"/>
  </xdr:oneCellAnchor>
  <xdr:oneCellAnchor>
    <xdr:from>
      <xdr:col>26</xdr:col>
      <xdr:colOff>19050</xdr:colOff>
      <xdr:row>45</xdr:row>
      <xdr:rowOff>171450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268450" y="90392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dataDxfId="0"/>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tabSelected="1" zoomScaleNormal="100" workbookViewId="0">
      <selection activeCell="C10" sqref="C10"/>
    </sheetView>
  </sheetViews>
  <sheetFormatPr baseColWidth="10" defaultRowHeight="15"/>
  <cols>
    <col min="2" max="2" width="153.85546875" customWidth="1"/>
  </cols>
  <sheetData>
    <row r="2" spans="2:2" ht="23.25">
      <c r="B2" s="138" t="s">
        <v>265</v>
      </c>
    </row>
    <row r="4" spans="2:2" ht="30">
      <c r="B4" s="134" t="s">
        <v>273</v>
      </c>
    </row>
    <row r="5" spans="2:2">
      <c r="B5" s="135"/>
    </row>
    <row r="6" spans="2:2" ht="60">
      <c r="B6" s="134" t="s">
        <v>304</v>
      </c>
    </row>
    <row r="7" spans="2:2">
      <c r="B7" s="135"/>
    </row>
    <row r="8" spans="2:2" ht="15.75">
      <c r="B8" s="137" t="s">
        <v>277</v>
      </c>
    </row>
    <row r="9" spans="2:2">
      <c r="B9" s="135"/>
    </row>
    <row r="10" spans="2:2" ht="45">
      <c r="B10" s="134" t="s">
        <v>274</v>
      </c>
    </row>
    <row r="11" spans="2:2" ht="30">
      <c r="B11" s="134" t="s">
        <v>302</v>
      </c>
    </row>
    <row r="12" spans="2:2">
      <c r="B12" s="135"/>
    </row>
    <row r="13" spans="2:2" ht="15.75">
      <c r="B13" s="137" t="s">
        <v>272</v>
      </c>
    </row>
    <row r="14" spans="2:2">
      <c r="B14" s="135"/>
    </row>
    <row r="15" spans="2:2" ht="45">
      <c r="B15" s="134" t="s">
        <v>291</v>
      </c>
    </row>
    <row r="17" spans="2:2">
      <c r="B17" s="136" t="s">
        <v>275</v>
      </c>
    </row>
    <row r="19" spans="2:2">
      <c r="B19" s="135" t="s">
        <v>276</v>
      </c>
    </row>
    <row r="20" spans="2:2">
      <c r="B20" s="135"/>
    </row>
    <row r="21" spans="2:2">
      <c r="B21" s="136" t="s">
        <v>278</v>
      </c>
    </row>
    <row r="22" spans="2:2">
      <c r="B22" s="135"/>
    </row>
    <row r="23" spans="2:2" ht="30">
      <c r="B23" s="134" t="s">
        <v>279</v>
      </c>
    </row>
    <row r="24" spans="2:2">
      <c r="B24" s="135"/>
    </row>
    <row r="25" spans="2:2">
      <c r="B25" s="136" t="s">
        <v>280</v>
      </c>
    </row>
    <row r="26" spans="2:2">
      <c r="B26" s="135"/>
    </row>
    <row r="27" spans="2:2">
      <c r="B27" s="134" t="s">
        <v>281</v>
      </c>
    </row>
    <row r="28" spans="2:2">
      <c r="B28" s="135"/>
    </row>
    <row r="29" spans="2:2" ht="30">
      <c r="B29" s="134" t="s">
        <v>305</v>
      </c>
    </row>
    <row r="31" spans="2:2" ht="30">
      <c r="B31" s="134" t="s">
        <v>294</v>
      </c>
    </row>
    <row r="33" spans="2:2">
      <c r="B33" s="133" t="s">
        <v>284</v>
      </c>
    </row>
    <row r="35" spans="2:2">
      <c r="B35" s="133" t="s">
        <v>285</v>
      </c>
    </row>
    <row r="37" spans="2:2" ht="60">
      <c r="B37" s="134" t="s">
        <v>286</v>
      </c>
    </row>
    <row r="39" spans="2:2">
      <c r="B39" s="150" t="s">
        <v>287</v>
      </c>
    </row>
    <row r="41" spans="2:2">
      <c r="B41" s="133" t="s">
        <v>288</v>
      </c>
    </row>
    <row r="43" spans="2:2" ht="60">
      <c r="B43" s="134" t="s">
        <v>289</v>
      </c>
    </row>
    <row r="45" spans="2:2" ht="90">
      <c r="B45" s="134" t="s">
        <v>290</v>
      </c>
    </row>
    <row r="47" spans="2:2">
      <c r="B47" s="150" t="s">
        <v>292</v>
      </c>
    </row>
    <row r="49" spans="2:2" ht="52.5" customHeight="1">
      <c r="B49" s="134" t="s">
        <v>293</v>
      </c>
    </row>
    <row r="51" spans="2:2" ht="60">
      <c r="B51" s="134" t="s">
        <v>295</v>
      </c>
    </row>
    <row r="53" spans="2:2">
      <c r="B53" s="150" t="s">
        <v>296</v>
      </c>
    </row>
    <row r="55" spans="2:2" ht="105">
      <c r="B55" s="134" t="s">
        <v>298</v>
      </c>
    </row>
    <row r="57" spans="2:2">
      <c r="B57" s="150" t="s">
        <v>297</v>
      </c>
    </row>
    <row r="59" spans="2:2" ht="45">
      <c r="B59" s="134" t="s">
        <v>299</v>
      </c>
    </row>
    <row r="61" spans="2:2">
      <c r="B61" s="133" t="s">
        <v>300</v>
      </c>
    </row>
    <row r="63" spans="2:2" ht="45">
      <c r="B63" s="134" t="s">
        <v>301</v>
      </c>
    </row>
    <row r="65" spans="2:2" ht="15.75">
      <c r="B65" s="155" t="s">
        <v>303</v>
      </c>
    </row>
    <row r="67" spans="2:2" ht="75">
      <c r="B67" s="156" t="s">
        <v>306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C26" activePane="bottomRight" state="frozen"/>
      <selection pane="topRight" activeCell="C1" sqref="C1"/>
      <selection pane="bottomLeft" activeCell="A5" sqref="A5"/>
      <selection pane="bottomRight" activeCell="I49" sqref="I49"/>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topLeftCell="A82" workbookViewId="0">
      <selection activeCell="C33" sqref="C33"/>
    </sheetView>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58" t="s">
        <v>150</v>
      </c>
      <c r="I2" s="159"/>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B4" sqref="B4"/>
    </sheetView>
  </sheetViews>
  <sheetFormatPr baseColWidth="10" defaultRowHeight="15"/>
  <cols>
    <col min="2" max="2" width="14.85546875" customWidth="1"/>
    <col min="3" max="3" width="13.7109375" customWidth="1"/>
    <col min="4" max="4" width="15.140625" customWidth="1"/>
    <col min="5" max="5" width="16.140625" customWidth="1"/>
    <col min="6" max="6" width="16.28515625" customWidth="1"/>
  </cols>
  <sheetData>
    <row r="1" spans="2:6" ht="15.75" thickBot="1"/>
    <row r="2" spans="2:6" ht="45">
      <c r="B2" s="146" t="s">
        <v>282</v>
      </c>
      <c r="C2" s="147" t="s">
        <v>283</v>
      </c>
      <c r="D2" s="147" t="s">
        <v>263</v>
      </c>
      <c r="E2" s="147" t="s">
        <v>262</v>
      </c>
      <c r="F2" s="148" t="s">
        <v>261</v>
      </c>
    </row>
    <row r="3" spans="2:6" ht="15.75" thickBot="1">
      <c r="B3" s="120">
        <v>1</v>
      </c>
      <c r="C3" s="85">
        <v>1</v>
      </c>
      <c r="D3" s="85">
        <v>0</v>
      </c>
      <c r="E3" s="85">
        <v>300</v>
      </c>
      <c r="F3" s="12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F19" sqref="F19"/>
    </sheetView>
  </sheetViews>
  <sheetFormatPr baseColWidth="10" defaultRowHeight="15"/>
  <cols>
    <col min="5" max="5" width="19.140625" customWidth="1"/>
    <col min="6" max="6" width="13.85546875" customWidth="1"/>
  </cols>
  <sheetData>
    <row r="1" spans="2:7" ht="15.75" thickBot="1"/>
    <row r="2" spans="2:7" ht="37.5" customHeight="1">
      <c r="B2" s="143" t="s">
        <v>266</v>
      </c>
      <c r="C2" s="144" t="s">
        <v>267</v>
      </c>
      <c r="D2" s="144" t="s">
        <v>268</v>
      </c>
      <c r="E2" s="144" t="s">
        <v>269</v>
      </c>
      <c r="F2" s="144" t="s">
        <v>270</v>
      </c>
      <c r="G2" s="145" t="s">
        <v>264</v>
      </c>
    </row>
    <row r="3" spans="2:7" ht="15.75" thickBot="1">
      <c r="B3" s="132">
        <v>0</v>
      </c>
      <c r="C3" s="95">
        <v>0</v>
      </c>
      <c r="D3" s="95">
        <v>0</v>
      </c>
      <c r="E3" s="95">
        <v>0</v>
      </c>
      <c r="F3" s="95">
        <v>0</v>
      </c>
      <c r="G3" s="97">
        <v>400</v>
      </c>
    </row>
    <row r="5" spans="2:7">
      <c r="B5" s="13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L32"/>
  <sheetViews>
    <sheetView workbookViewId="0">
      <selection activeCell="O13" sqref="O13"/>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2" ht="15.75" thickBot="1"/>
    <row r="2" spans="2:12" ht="46.5" customHeight="1" thickBot="1">
      <c r="B2" s="139" t="s">
        <v>250</v>
      </c>
      <c r="C2" s="140" t="s">
        <v>244</v>
      </c>
      <c r="D2" s="141" t="s">
        <v>245</v>
      </c>
      <c r="E2" s="141" t="s">
        <v>271</v>
      </c>
      <c r="F2" s="141" t="s">
        <v>246</v>
      </c>
      <c r="G2" s="141" t="s">
        <v>242</v>
      </c>
      <c r="H2" s="141" t="s">
        <v>243</v>
      </c>
      <c r="I2" s="141" t="s">
        <v>247</v>
      </c>
      <c r="J2" s="141" t="s">
        <v>248</v>
      </c>
      <c r="K2" s="141" t="s">
        <v>249</v>
      </c>
      <c r="L2" s="142" t="s">
        <v>260</v>
      </c>
    </row>
    <row r="3" spans="2:12">
      <c r="B3" s="103" t="s">
        <v>213</v>
      </c>
      <c r="C3" s="100">
        <v>4.0280000000000003E-2</v>
      </c>
      <c r="D3" s="98">
        <v>800</v>
      </c>
      <c r="E3" s="98"/>
      <c r="F3" s="98">
        <v>5.1999999999999998E-3</v>
      </c>
      <c r="G3" s="98">
        <v>0.8</v>
      </c>
      <c r="H3" s="98">
        <v>0.8</v>
      </c>
      <c r="I3" s="98">
        <v>1</v>
      </c>
      <c r="J3" s="98">
        <v>0</v>
      </c>
      <c r="K3" s="98">
        <v>0</v>
      </c>
      <c r="L3" s="99">
        <v>1</v>
      </c>
    </row>
    <row r="4" spans="2:12">
      <c r="B4" s="104" t="s">
        <v>214</v>
      </c>
      <c r="C4" s="101">
        <v>4.0280000000000003E-2</v>
      </c>
      <c r="D4" s="94">
        <v>800</v>
      </c>
      <c r="E4" s="94"/>
      <c r="F4" s="94">
        <v>5.1999999999999998E-3</v>
      </c>
      <c r="G4" s="94">
        <v>0.8</v>
      </c>
      <c r="H4" s="94">
        <v>0.8</v>
      </c>
      <c r="I4" s="94">
        <v>-1</v>
      </c>
      <c r="J4" s="94">
        <v>0</v>
      </c>
      <c r="K4" s="94">
        <v>0</v>
      </c>
      <c r="L4" s="96">
        <v>1</v>
      </c>
    </row>
    <row r="5" spans="2:12">
      <c r="B5" s="104" t="s">
        <v>215</v>
      </c>
      <c r="C5" s="101">
        <v>7.2909999999999997E-3</v>
      </c>
      <c r="D5" s="94">
        <v>800</v>
      </c>
      <c r="E5" s="94"/>
      <c r="F5" s="94">
        <v>2.0999999999999999E-3</v>
      </c>
      <c r="G5" s="94">
        <v>0.8</v>
      </c>
      <c r="H5" s="94">
        <v>0.8</v>
      </c>
      <c r="I5" s="94">
        <v>0</v>
      </c>
      <c r="J5" s="94">
        <v>-0.70709999999999995</v>
      </c>
      <c r="K5" s="94">
        <v>0.70709999999999995</v>
      </c>
      <c r="L5" s="96">
        <v>1</v>
      </c>
    </row>
    <row r="6" spans="2:12">
      <c r="B6" s="104" t="s">
        <v>216</v>
      </c>
      <c r="C6" s="101">
        <v>7.2909999999999997E-3</v>
      </c>
      <c r="D6" s="94">
        <v>800</v>
      </c>
      <c r="E6" s="94"/>
      <c r="F6" s="94">
        <v>2.0999999999999999E-3</v>
      </c>
      <c r="G6" s="94">
        <v>0.8</v>
      </c>
      <c r="H6" s="94">
        <v>0.8</v>
      </c>
      <c r="I6" s="94">
        <v>0</v>
      </c>
      <c r="J6" s="94">
        <v>0.70709999999999995</v>
      </c>
      <c r="K6" s="94">
        <v>0.70709999999999995</v>
      </c>
      <c r="L6" s="96">
        <v>1</v>
      </c>
    </row>
    <row r="7" spans="2:12">
      <c r="B7" s="104" t="s">
        <v>217</v>
      </c>
      <c r="C7" s="101">
        <v>6.4250000000000002E-3</v>
      </c>
      <c r="D7" s="94">
        <v>800</v>
      </c>
      <c r="E7" s="94"/>
      <c r="F7" s="94">
        <v>2.0999999999999999E-3</v>
      </c>
      <c r="G7" s="94">
        <v>0.8</v>
      </c>
      <c r="H7" s="94">
        <v>0.8</v>
      </c>
      <c r="I7" s="94">
        <v>0</v>
      </c>
      <c r="J7" s="94">
        <v>0.70709999999999995</v>
      </c>
      <c r="K7" s="94">
        <v>-0.70709999999999995</v>
      </c>
      <c r="L7" s="96">
        <v>1</v>
      </c>
    </row>
    <row r="8" spans="2:12">
      <c r="B8" s="104" t="s">
        <v>218</v>
      </c>
      <c r="C8" s="101">
        <v>6.4250000000000002E-3</v>
      </c>
      <c r="D8" s="94">
        <v>800</v>
      </c>
      <c r="E8" s="94"/>
      <c r="F8" s="94">
        <v>2.0999999999999999E-3</v>
      </c>
      <c r="G8" s="94">
        <v>0.8</v>
      </c>
      <c r="H8" s="94">
        <v>0.8</v>
      </c>
      <c r="I8" s="94">
        <v>0</v>
      </c>
      <c r="J8" s="94">
        <v>-0.70709999999999995</v>
      </c>
      <c r="K8" s="94">
        <v>-0.70709999999999995</v>
      </c>
      <c r="L8" s="96">
        <v>1</v>
      </c>
    </row>
    <row r="9" spans="2:12">
      <c r="B9" s="130" t="s">
        <v>219</v>
      </c>
      <c r="C9" s="101">
        <v>2.1919999999999999E-2</v>
      </c>
      <c r="D9" s="94">
        <v>800</v>
      </c>
      <c r="E9" s="94"/>
      <c r="F9" s="94">
        <v>9.5999999999999992E-3</v>
      </c>
      <c r="G9" s="94">
        <v>0.8</v>
      </c>
      <c r="H9" s="94">
        <v>0.8</v>
      </c>
      <c r="I9" s="94">
        <v>0</v>
      </c>
      <c r="J9" s="94">
        <v>0</v>
      </c>
      <c r="K9" s="94">
        <v>1</v>
      </c>
      <c r="L9" s="96">
        <v>1</v>
      </c>
    </row>
    <row r="10" spans="2:12">
      <c r="B10" s="104" t="s">
        <v>220</v>
      </c>
      <c r="C10" s="101">
        <v>1.8E-3</v>
      </c>
      <c r="D10" s="94">
        <v>800</v>
      </c>
      <c r="E10" s="94"/>
      <c r="F10" s="94">
        <v>5.7600000000000001E-4</v>
      </c>
      <c r="G10" s="94">
        <v>0.8</v>
      </c>
      <c r="H10" s="94">
        <v>0.8</v>
      </c>
      <c r="I10" s="94">
        <v>0</v>
      </c>
      <c r="J10" s="94">
        <v>0</v>
      </c>
      <c r="K10" s="94">
        <v>1</v>
      </c>
      <c r="L10" s="96">
        <v>1</v>
      </c>
    </row>
    <row r="11" spans="2:12">
      <c r="B11" s="104" t="s">
        <v>221</v>
      </c>
      <c r="C11" s="101">
        <v>1.8E-3</v>
      </c>
      <c r="D11" s="94">
        <v>800</v>
      </c>
      <c r="E11" s="94"/>
      <c r="F11" s="94">
        <v>5.7600000000000001E-4</v>
      </c>
      <c r="G11" s="94">
        <v>0.8</v>
      </c>
      <c r="H11" s="94">
        <v>0.8</v>
      </c>
      <c r="I11" s="94">
        <v>0</v>
      </c>
      <c r="J11" s="94">
        <v>0</v>
      </c>
      <c r="K11" s="94">
        <v>1</v>
      </c>
      <c r="L11" s="96">
        <v>1</v>
      </c>
    </row>
    <row r="12" spans="2:12">
      <c r="B12" s="104" t="s">
        <v>222</v>
      </c>
      <c r="C12" s="101">
        <v>1.8E-3</v>
      </c>
      <c r="D12" s="94">
        <v>800</v>
      </c>
      <c r="E12" s="94"/>
      <c r="F12" s="94">
        <v>5.7600000000000001E-4</v>
      </c>
      <c r="G12" s="94">
        <v>0.8</v>
      </c>
      <c r="H12" s="94">
        <v>0.8</v>
      </c>
      <c r="I12" s="94">
        <v>0</v>
      </c>
      <c r="J12" s="94">
        <v>0</v>
      </c>
      <c r="K12" s="94">
        <v>1</v>
      </c>
      <c r="L12" s="96">
        <v>1</v>
      </c>
    </row>
    <row r="13" spans="2:12">
      <c r="B13" s="104" t="s">
        <v>223</v>
      </c>
      <c r="C13" s="101">
        <v>1.8E-3</v>
      </c>
      <c r="D13" s="94">
        <v>800</v>
      </c>
      <c r="E13" s="94"/>
      <c r="F13" s="94">
        <v>5.7600000000000001E-4</v>
      </c>
      <c r="G13" s="94">
        <v>0.8</v>
      </c>
      <c r="H13" s="94">
        <v>0.8</v>
      </c>
      <c r="I13" s="94">
        <v>0</v>
      </c>
      <c r="J13" s="94">
        <v>0</v>
      </c>
      <c r="K13" s="94">
        <v>1</v>
      </c>
      <c r="L13" s="96">
        <v>1</v>
      </c>
    </row>
    <row r="14" spans="2:12">
      <c r="B14" s="104" t="s">
        <v>224</v>
      </c>
      <c r="C14" s="101">
        <v>2.375E-2</v>
      </c>
      <c r="D14" s="94">
        <v>600</v>
      </c>
      <c r="E14" s="94"/>
      <c r="F14" s="94">
        <v>0.01</v>
      </c>
      <c r="G14" s="94"/>
      <c r="H14" s="94"/>
      <c r="I14" s="94"/>
      <c r="J14" s="94"/>
      <c r="K14" s="94"/>
      <c r="L14" s="96">
        <v>0</v>
      </c>
    </row>
    <row r="15" spans="2:12">
      <c r="B15" s="104" t="s">
        <v>225</v>
      </c>
      <c r="C15" s="101">
        <v>0.125</v>
      </c>
      <c r="D15" s="94">
        <v>800</v>
      </c>
      <c r="E15" s="94"/>
      <c r="F15" s="94">
        <v>0.01</v>
      </c>
      <c r="G15" s="94"/>
      <c r="H15" s="94"/>
      <c r="I15" s="94"/>
      <c r="J15" s="94"/>
      <c r="K15" s="94"/>
      <c r="L15" s="96">
        <v>0</v>
      </c>
    </row>
    <row r="16" spans="2:12">
      <c r="B16" s="104" t="s">
        <v>226</v>
      </c>
      <c r="C16" s="101">
        <v>3.9E-2</v>
      </c>
      <c r="D16" s="94">
        <v>600</v>
      </c>
      <c r="E16" s="94"/>
      <c r="F16" s="94">
        <v>0.01</v>
      </c>
      <c r="G16" s="94"/>
      <c r="H16" s="94"/>
      <c r="I16" s="94"/>
      <c r="J16" s="94"/>
      <c r="K16" s="94"/>
      <c r="L16" s="96">
        <v>0</v>
      </c>
    </row>
    <row r="17" spans="2:12">
      <c r="B17" s="104" t="s">
        <v>227</v>
      </c>
      <c r="C17" s="101">
        <v>3.9E-2</v>
      </c>
      <c r="D17" s="94">
        <v>600</v>
      </c>
      <c r="E17" s="94"/>
      <c r="F17" s="94">
        <v>0.1</v>
      </c>
      <c r="G17" s="94"/>
      <c r="H17" s="94"/>
      <c r="I17" s="94"/>
      <c r="J17" s="94"/>
      <c r="K17" s="94"/>
      <c r="L17" s="96">
        <v>0</v>
      </c>
    </row>
    <row r="18" spans="2:12">
      <c r="B18" s="104" t="s">
        <v>228</v>
      </c>
      <c r="C18" s="101">
        <v>3.9E-2</v>
      </c>
      <c r="D18" s="94">
        <v>600</v>
      </c>
      <c r="E18" s="94"/>
      <c r="F18" s="94">
        <v>0.1</v>
      </c>
      <c r="G18" s="94"/>
      <c r="H18" s="94"/>
      <c r="I18" s="94"/>
      <c r="J18" s="94"/>
      <c r="K18" s="94"/>
      <c r="L18" s="96">
        <v>0</v>
      </c>
    </row>
    <row r="19" spans="2:12">
      <c r="B19" s="104" t="s">
        <v>229</v>
      </c>
      <c r="C19" s="101">
        <v>3.9E-2</v>
      </c>
      <c r="D19" s="94">
        <v>600</v>
      </c>
      <c r="E19" s="94"/>
      <c r="F19" s="94">
        <v>0.1</v>
      </c>
      <c r="G19" s="94"/>
      <c r="H19" s="94"/>
      <c r="I19" s="94"/>
      <c r="J19" s="94"/>
      <c r="K19" s="94"/>
      <c r="L19" s="96">
        <v>0</v>
      </c>
    </row>
    <row r="20" spans="2:12">
      <c r="B20" s="104" t="s">
        <v>230</v>
      </c>
      <c r="C20" s="101">
        <v>0.05</v>
      </c>
      <c r="D20" s="94">
        <v>600</v>
      </c>
      <c r="E20" s="94"/>
      <c r="F20" s="94">
        <v>0.1</v>
      </c>
      <c r="G20" s="94"/>
      <c r="H20" s="94"/>
      <c r="I20" s="94"/>
      <c r="J20" s="94"/>
      <c r="K20" s="94"/>
      <c r="L20" s="96">
        <v>0</v>
      </c>
    </row>
    <row r="21" spans="2:12">
      <c r="B21" s="104" t="s">
        <v>231</v>
      </c>
      <c r="C21" s="101">
        <v>0.05</v>
      </c>
      <c r="D21" s="94">
        <v>600</v>
      </c>
      <c r="E21" s="94"/>
      <c r="F21" s="94">
        <v>0.1</v>
      </c>
      <c r="G21" s="94"/>
      <c r="H21" s="94"/>
      <c r="I21" s="94"/>
      <c r="J21" s="94"/>
      <c r="K21" s="94"/>
      <c r="L21" s="96">
        <v>0</v>
      </c>
    </row>
    <row r="22" spans="2:12">
      <c r="B22" s="104" t="s">
        <v>232</v>
      </c>
      <c r="C22" s="101">
        <v>3.8490000000000003E-2</v>
      </c>
      <c r="D22" s="94">
        <v>600</v>
      </c>
      <c r="E22" s="94"/>
      <c r="F22" s="94">
        <v>8.6E-3</v>
      </c>
      <c r="G22" s="94"/>
      <c r="H22" s="94"/>
      <c r="I22" s="94"/>
      <c r="J22" s="94"/>
      <c r="K22" s="94"/>
      <c r="L22" s="96">
        <v>0</v>
      </c>
    </row>
    <row r="23" spans="2:12">
      <c r="B23" s="104" t="s">
        <v>233</v>
      </c>
      <c r="C23" s="101">
        <v>7.4999999999999997E-2</v>
      </c>
      <c r="D23" s="94">
        <v>600</v>
      </c>
      <c r="E23" s="94"/>
      <c r="F23" s="94">
        <v>8.6E-3</v>
      </c>
      <c r="G23" s="94"/>
      <c r="H23" s="94"/>
      <c r="I23" s="94"/>
      <c r="J23" s="94"/>
      <c r="K23" s="94"/>
      <c r="L23" s="96">
        <v>0</v>
      </c>
    </row>
    <row r="24" spans="2:12">
      <c r="B24" s="104" t="s">
        <v>234</v>
      </c>
      <c r="C24" s="101">
        <v>8.5000000000000006E-2</v>
      </c>
      <c r="D24" s="94">
        <v>600</v>
      </c>
      <c r="E24" s="94">
        <v>15</v>
      </c>
      <c r="F24" s="94">
        <v>0.08</v>
      </c>
      <c r="G24" s="94"/>
      <c r="H24" s="94"/>
      <c r="I24" s="94"/>
      <c r="J24" s="94"/>
      <c r="K24" s="94"/>
      <c r="L24" s="96">
        <v>0</v>
      </c>
    </row>
    <row r="25" spans="2:12">
      <c r="B25" s="104" t="s">
        <v>235</v>
      </c>
      <c r="C25" s="101">
        <v>2.4E-2</v>
      </c>
      <c r="D25" s="94">
        <v>600</v>
      </c>
      <c r="E25" s="94"/>
      <c r="F25" s="94">
        <v>0.33</v>
      </c>
      <c r="G25" s="94"/>
      <c r="H25" s="94"/>
      <c r="I25" s="94"/>
      <c r="J25" s="94"/>
      <c r="K25" s="94"/>
      <c r="L25" s="96">
        <v>0</v>
      </c>
    </row>
    <row r="26" spans="2:12">
      <c r="B26" s="104" t="s">
        <v>236</v>
      </c>
      <c r="C26" s="101">
        <v>5.2999999999999999E-2</v>
      </c>
      <c r="D26" s="94">
        <v>600</v>
      </c>
      <c r="E26" s="94">
        <v>15</v>
      </c>
      <c r="F26" s="94">
        <v>8.0940000000000005E-3</v>
      </c>
      <c r="G26" s="94">
        <v>0.8</v>
      </c>
      <c r="H26" s="94">
        <v>0.8</v>
      </c>
      <c r="I26" s="94">
        <v>0</v>
      </c>
      <c r="J26" s="94">
        <v>1</v>
      </c>
      <c r="K26" s="94">
        <v>0</v>
      </c>
      <c r="L26" s="96">
        <v>1</v>
      </c>
    </row>
    <row r="27" spans="2:12">
      <c r="B27" s="104" t="s">
        <v>237</v>
      </c>
      <c r="C27" s="101">
        <v>4.3999999999999997E-2</v>
      </c>
      <c r="D27" s="94">
        <v>600</v>
      </c>
      <c r="E27" s="94">
        <v>15</v>
      </c>
      <c r="F27" s="94">
        <v>8.0940000000000005E-3</v>
      </c>
      <c r="G27" s="94">
        <v>0.8</v>
      </c>
      <c r="H27" s="94">
        <v>0.8</v>
      </c>
      <c r="I27" s="94">
        <v>0</v>
      </c>
      <c r="J27" s="94">
        <v>-1</v>
      </c>
      <c r="K27" s="94">
        <v>0</v>
      </c>
      <c r="L27" s="96">
        <v>1</v>
      </c>
    </row>
    <row r="28" spans="2:12">
      <c r="B28" s="104" t="s">
        <v>238</v>
      </c>
      <c r="C28" s="101">
        <v>4.4999999999999998E-2</v>
      </c>
      <c r="D28" s="94">
        <v>600</v>
      </c>
      <c r="E28" s="94">
        <v>15</v>
      </c>
      <c r="F28" s="94">
        <v>8.0940000000000005E-3</v>
      </c>
      <c r="G28" s="94">
        <v>0.8</v>
      </c>
      <c r="H28" s="94">
        <v>0.8</v>
      </c>
      <c r="I28" s="94">
        <v>1</v>
      </c>
      <c r="J28" s="94">
        <v>0</v>
      </c>
      <c r="K28" s="94">
        <v>0</v>
      </c>
      <c r="L28" s="96">
        <v>1</v>
      </c>
    </row>
    <row r="29" spans="2:12">
      <c r="B29" s="104" t="s">
        <v>239</v>
      </c>
      <c r="C29" s="101">
        <v>5.2999999999999999E-2</v>
      </c>
      <c r="D29" s="94">
        <v>600</v>
      </c>
      <c r="E29" s="94">
        <v>15</v>
      </c>
      <c r="F29" s="94">
        <v>8.0940000000000005E-3</v>
      </c>
      <c r="G29" s="94">
        <v>0.8</v>
      </c>
      <c r="H29" s="94">
        <v>0.8</v>
      </c>
      <c r="I29" s="94">
        <v>-1</v>
      </c>
      <c r="J29" s="94">
        <v>0</v>
      </c>
      <c r="K29" s="94">
        <v>0</v>
      </c>
      <c r="L29" s="96">
        <v>1</v>
      </c>
    </row>
    <row r="30" spans="2:12">
      <c r="B30" s="104" t="s">
        <v>240</v>
      </c>
      <c r="C30" s="101">
        <v>5.7500000000000002E-2</v>
      </c>
      <c r="D30" s="94">
        <v>600</v>
      </c>
      <c r="E30" s="94">
        <v>15</v>
      </c>
      <c r="F30" s="94">
        <v>8.4469999999999996E-3</v>
      </c>
      <c r="G30" s="94">
        <v>0.8</v>
      </c>
      <c r="H30" s="94">
        <v>0.8</v>
      </c>
      <c r="I30" s="94">
        <v>0</v>
      </c>
      <c r="J30" s="94">
        <v>0</v>
      </c>
      <c r="K30" s="94">
        <v>-1</v>
      </c>
      <c r="L30" s="96">
        <v>1</v>
      </c>
    </row>
    <row r="31" spans="2:12" ht="15.75" thickBot="1">
      <c r="B31" s="105" t="s">
        <v>241</v>
      </c>
      <c r="C31" s="102">
        <v>0.04</v>
      </c>
      <c r="D31" s="95">
        <v>600</v>
      </c>
      <c r="E31" s="95"/>
      <c r="F31" s="95">
        <v>0.01</v>
      </c>
      <c r="G31" s="95"/>
      <c r="H31" s="95"/>
      <c r="I31" s="95"/>
      <c r="J31" s="95"/>
      <c r="K31" s="95"/>
      <c r="L31" s="97">
        <v>0</v>
      </c>
    </row>
    <row r="32" spans="2:12">
      <c r="B32" s="8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workbookViewId="0">
      <selection activeCell="C3" sqref="C3"/>
    </sheetView>
  </sheetViews>
  <sheetFormatPr baseColWidth="10" defaultRowHeight="15"/>
  <cols>
    <col min="2" max="2" width="32" bestFit="1" customWidth="1"/>
  </cols>
  <sheetData>
    <row r="1" spans="1:14" ht="15.75" thickBot="1"/>
    <row r="2" spans="1:14" ht="15.75" thickBot="1">
      <c r="B2" s="151" t="s">
        <v>255</v>
      </c>
      <c r="C2" s="157" t="s">
        <v>258</v>
      </c>
      <c r="D2" s="128" t="s">
        <v>257</v>
      </c>
      <c r="E2" s="128" t="s">
        <v>256</v>
      </c>
      <c r="F2" s="129" t="s">
        <v>258</v>
      </c>
      <c r="G2" s="110"/>
    </row>
    <row r="3" spans="1:14">
      <c r="B3" s="152" t="s">
        <v>251</v>
      </c>
      <c r="C3" s="87">
        <f>IFERROR(C4+C5*60+C6*3600+C7*3600*24+B3,C4+C5*60+C6*3600+C7*3600*24)</f>
        <v>259200</v>
      </c>
      <c r="D3" s="87">
        <f t="shared" ref="D3:F3" si="0">IFERROR(D4+D5*60+D6*3600+D7*3600*24+C3,D4+D5*60+D6*3600+D7*3600*24)</f>
        <v>259200</v>
      </c>
      <c r="E3" s="87">
        <f t="shared" si="0"/>
        <v>259200</v>
      </c>
      <c r="F3" s="87">
        <f t="shared" si="0"/>
        <v>259200</v>
      </c>
      <c r="G3" s="89"/>
      <c r="H3" s="81"/>
      <c r="I3" s="81"/>
      <c r="J3" s="81"/>
      <c r="K3" s="81"/>
      <c r="L3" s="81"/>
      <c r="M3" s="81"/>
      <c r="N3" s="81"/>
    </row>
    <row r="4" spans="1:14">
      <c r="B4" s="153" t="s">
        <v>254</v>
      </c>
      <c r="C4" s="86"/>
      <c r="D4" s="84"/>
      <c r="E4" s="83"/>
      <c r="F4" s="88"/>
      <c r="G4" s="89"/>
    </row>
    <row r="5" spans="1:14">
      <c r="B5" s="153" t="s">
        <v>253</v>
      </c>
      <c r="C5" s="86"/>
      <c r="D5" s="84"/>
      <c r="E5" s="83">
        <v>0</v>
      </c>
      <c r="F5" s="88"/>
      <c r="G5" s="89"/>
    </row>
    <row r="6" spans="1:14">
      <c r="B6" s="153" t="s">
        <v>252</v>
      </c>
      <c r="C6" s="127">
        <v>0</v>
      </c>
      <c r="D6" s="84">
        <v>0</v>
      </c>
      <c r="E6" s="83"/>
      <c r="F6" s="88">
        <v>0</v>
      </c>
      <c r="G6" s="89"/>
    </row>
    <row r="7" spans="1:14">
      <c r="B7" s="154" t="s">
        <v>259</v>
      </c>
      <c r="C7" s="106">
        <v>3</v>
      </c>
      <c r="D7" s="107"/>
      <c r="E7" s="108"/>
      <c r="F7" s="109"/>
      <c r="G7" s="89"/>
    </row>
    <row r="8" spans="1:14">
      <c r="A8" s="82">
        <v>1</v>
      </c>
      <c r="B8" s="90" t="str">
        <f>HLOOKUP(B$2,Modes!$B$2:$E$31,$A8+1)</f>
        <v>Frame 1, +X</v>
      </c>
      <c r="C8" s="91">
        <f>HLOOKUP(C$2,Modes!$B$2:$O$31,$A8+1,FALSE)</f>
        <v>0</v>
      </c>
      <c r="D8" s="91">
        <f>HLOOKUP(D$2,Modes!$B$2:$O$31,$A8+1,FALSE)</f>
        <v>0</v>
      </c>
      <c r="E8" s="91">
        <f>HLOOKUP(E$2,Modes!$B$2:$O$31,$A8+1,FALSE)</f>
        <v>0</v>
      </c>
      <c r="F8" s="91">
        <f>HLOOKUP(F$2,Modes!$B$2:$O$31,$A8+1,FALSE)</f>
        <v>0</v>
      </c>
      <c r="G8" s="92"/>
      <c r="H8" s="92"/>
      <c r="I8" s="92"/>
      <c r="J8" s="92"/>
      <c r="K8" s="92"/>
    </row>
    <row r="9" spans="1:14">
      <c r="A9" s="82">
        <v>2</v>
      </c>
      <c r="B9" s="90" t="str">
        <f>HLOOKUP(B$2,Modes!$B$2:$E$31,$A9+1)</f>
        <v>Frame 2, -X</v>
      </c>
      <c r="C9" s="91">
        <f>HLOOKUP(C$2,Modes!$B$2:$O$31,$A9+1,FALSE)</f>
        <v>0</v>
      </c>
      <c r="D9" s="91">
        <f>HLOOKUP(D$2,Modes!$B$2:$O$31,$A9+1,FALSE)</f>
        <v>0</v>
      </c>
      <c r="E9" s="91">
        <f>HLOOKUP(E$2,Modes!$B$2:$O$31,$A9+1,FALSE)</f>
        <v>0</v>
      </c>
      <c r="F9" s="91">
        <f>HLOOKUP(F$2,Modes!$B$2:$O$31,$A9+1,FALSE)</f>
        <v>0</v>
      </c>
      <c r="G9" s="92"/>
      <c r="H9" s="92"/>
      <c r="I9" s="92"/>
      <c r="J9" s="92"/>
      <c r="K9" s="92"/>
    </row>
    <row r="10" spans="1:14">
      <c r="A10" s="82">
        <v>3</v>
      </c>
      <c r="B10" s="90" t="str">
        <f>HLOOKUP(B$2,Modes!$B$2:$E$31,$A10+1)</f>
        <v>Beam -Y +Z</v>
      </c>
      <c r="C10" s="91">
        <f>HLOOKUP(C$2,Modes!$B$2:$O$31,$A10+1,FALSE)</f>
        <v>0</v>
      </c>
      <c r="D10" s="91">
        <f>HLOOKUP(D$2,Modes!$B$2:$O$31,$A10+1,FALSE)</f>
        <v>0</v>
      </c>
      <c r="E10" s="91">
        <f>HLOOKUP(E$2,Modes!$B$2:$O$31,$A10+1,FALSE)</f>
        <v>0</v>
      </c>
      <c r="F10" s="91">
        <f>HLOOKUP(F$2,Modes!$B$2:$O$31,$A10+1,FALSE)</f>
        <v>0</v>
      </c>
      <c r="G10" s="92"/>
      <c r="H10" s="92"/>
      <c r="I10" s="92"/>
      <c r="J10" s="92"/>
      <c r="K10" s="92"/>
    </row>
    <row r="11" spans="1:14">
      <c r="A11" s="82">
        <v>4</v>
      </c>
      <c r="B11" s="90" t="str">
        <f>HLOOKUP(B$2,Modes!$B$2:$E$31,$A11+1)</f>
        <v>Beam +Y +Z</v>
      </c>
      <c r="C11" s="91">
        <f>HLOOKUP(C$2,Modes!$B$2:$O$31,$A11+1,FALSE)</f>
        <v>0</v>
      </c>
      <c r="D11" s="91">
        <f>HLOOKUP(D$2,Modes!$B$2:$O$31,$A11+1,FALSE)</f>
        <v>0</v>
      </c>
      <c r="E11" s="91">
        <f>HLOOKUP(E$2,Modes!$B$2:$O$31,$A11+1,FALSE)</f>
        <v>0</v>
      </c>
      <c r="F11" s="91">
        <f>HLOOKUP(F$2,Modes!$B$2:$O$31,$A11+1,FALSE)</f>
        <v>0</v>
      </c>
      <c r="G11" s="92"/>
      <c r="H11" s="92"/>
      <c r="I11" s="92"/>
      <c r="J11" s="92"/>
      <c r="K11" s="92"/>
    </row>
    <row r="12" spans="1:14">
      <c r="A12" s="82">
        <v>5</v>
      </c>
      <c r="B12" s="90" t="str">
        <f>HLOOKUP(B$2,Modes!$B$2:$E$31,$A12+1)</f>
        <v>Beam +Y -Z</v>
      </c>
      <c r="C12" s="91">
        <f>HLOOKUP(C$2,Modes!$B$2:$O$31,$A12+1,FALSE)</f>
        <v>0</v>
      </c>
      <c r="D12" s="91">
        <f>HLOOKUP(D$2,Modes!$B$2:$O$31,$A12+1,FALSE)</f>
        <v>0</v>
      </c>
      <c r="E12" s="91">
        <f>HLOOKUP(E$2,Modes!$B$2:$O$31,$A12+1,FALSE)</f>
        <v>0</v>
      </c>
      <c r="F12" s="91">
        <f>HLOOKUP(F$2,Modes!$B$2:$O$31,$A12+1,FALSE)</f>
        <v>0</v>
      </c>
      <c r="G12" s="92"/>
      <c r="H12" s="92"/>
      <c r="I12" s="92"/>
      <c r="J12" s="92"/>
      <c r="K12" s="92"/>
    </row>
    <row r="13" spans="1:14">
      <c r="A13" s="82">
        <v>6</v>
      </c>
      <c r="B13" s="90" t="str">
        <f>HLOOKUP(B$2,Modes!$B$2:$E$31,$A13+1)</f>
        <v>Beam -Y -Z</v>
      </c>
      <c r="C13" s="91">
        <f>HLOOKUP(C$2,Modes!$B$2:$O$31,$A13+1,FALSE)</f>
        <v>0</v>
      </c>
      <c r="D13" s="91">
        <f>HLOOKUP(D$2,Modes!$B$2:$O$31,$A13+1,FALSE)</f>
        <v>0</v>
      </c>
      <c r="E13" s="91">
        <f>HLOOKUP(E$2,Modes!$B$2:$O$31,$A13+1,FALSE)</f>
        <v>0</v>
      </c>
      <c r="F13" s="91">
        <f>HLOOKUP(F$2,Modes!$B$2:$O$31,$A13+1,FALSE)</f>
        <v>0</v>
      </c>
      <c r="G13" s="92"/>
      <c r="H13" s="92"/>
      <c r="I13" s="92"/>
      <c r="J13" s="92"/>
      <c r="K13" s="92"/>
    </row>
    <row r="14" spans="1:14">
      <c r="A14" s="82">
        <v>7</v>
      </c>
      <c r="B14" s="90" t="str">
        <f>HLOOKUP(B$2,Modes!$B$2:$E$31,$A14+1)</f>
        <v xml:space="preserve">panel +Z, payload plate </v>
      </c>
      <c r="C14" s="91">
        <f>HLOOKUP(C$2,Modes!$B$2:$O$31,$A14+1,FALSE)</f>
        <v>0</v>
      </c>
      <c r="D14" s="91">
        <f>HLOOKUP(D$2,Modes!$B$2:$O$31,$A14+1,FALSE)</f>
        <v>0</v>
      </c>
      <c r="E14" s="91">
        <f>HLOOKUP(E$2,Modes!$B$2:$O$31,$A14+1,FALSE)</f>
        <v>0</v>
      </c>
      <c r="F14" s="91">
        <f>HLOOKUP(F$2,Modes!$B$2:$O$31,$A14+1,FALSE)</f>
        <v>0</v>
      </c>
      <c r="G14" s="92"/>
      <c r="H14" s="92"/>
      <c r="I14" s="92"/>
      <c r="J14" s="92"/>
      <c r="K14" s="92"/>
    </row>
    <row r="15" spans="1:14">
      <c r="A15" s="82">
        <v>8</v>
      </c>
      <c r="B15" s="90" t="str">
        <f>HLOOKUP(B$2,Modes!$B$2:$E$31,$A15+1)</f>
        <v xml:space="preserve">LED 1 </v>
      </c>
      <c r="C15" s="91">
        <f>HLOOKUP(C$2,Modes!$B$2:$O$31,$A15+1,FALSE)</f>
        <v>0</v>
      </c>
      <c r="D15" s="91">
        <f>HLOOKUP(D$2,Modes!$B$2:$O$31,$A15+1,FALSE)</f>
        <v>6</v>
      </c>
      <c r="E15" s="91">
        <f>HLOOKUP(E$2,Modes!$B$2:$O$31,$A15+1,FALSE)</f>
        <v>200</v>
      </c>
      <c r="F15" s="91">
        <f>HLOOKUP(F$2,Modes!$B$2:$O$31,$A15+1,FALSE)</f>
        <v>0</v>
      </c>
      <c r="G15" s="92"/>
      <c r="H15" s="92"/>
      <c r="I15" s="92"/>
      <c r="J15" s="92"/>
      <c r="K15" s="92"/>
    </row>
    <row r="16" spans="1:14">
      <c r="A16" s="82">
        <v>9</v>
      </c>
      <c r="B16" s="90" t="str">
        <f>HLOOKUP(B$2,Modes!$B$2:$E$31,$A16+1)</f>
        <v>LED 2</v>
      </c>
      <c r="C16" s="91">
        <f>HLOOKUP(C$2,Modes!$B$2:$O$31,$A16+1,FALSE)</f>
        <v>0</v>
      </c>
      <c r="D16" s="91">
        <f>HLOOKUP(D$2,Modes!$B$2:$O$31,$A16+1,FALSE)</f>
        <v>6</v>
      </c>
      <c r="E16" s="91">
        <f>HLOOKUP(E$2,Modes!$B$2:$O$31,$A16+1,FALSE)</f>
        <v>200</v>
      </c>
      <c r="F16" s="91">
        <f>HLOOKUP(F$2,Modes!$B$2:$O$31,$A16+1,FALSE)</f>
        <v>0</v>
      </c>
      <c r="G16" s="92"/>
      <c r="H16" s="92"/>
      <c r="I16" s="92"/>
      <c r="J16" s="92"/>
      <c r="K16" s="92"/>
    </row>
    <row r="17" spans="1:11">
      <c r="A17" s="82">
        <v>10</v>
      </c>
      <c r="B17" s="90" t="str">
        <f>HLOOKUP(B$2,Modes!$B$2:$E$31,$A17+1)</f>
        <v>LED 3</v>
      </c>
      <c r="C17" s="91">
        <f>HLOOKUP(C$2,Modes!$B$2:$O$31,$A17+1,FALSE)</f>
        <v>0</v>
      </c>
      <c r="D17" s="91">
        <f>HLOOKUP(D$2,Modes!$B$2:$O$31,$A17+1,FALSE)</f>
        <v>6</v>
      </c>
      <c r="E17" s="91">
        <f>HLOOKUP(E$2,Modes!$B$2:$O$31,$A17+1,FALSE)</f>
        <v>200</v>
      </c>
      <c r="F17" s="91">
        <f>HLOOKUP(F$2,Modes!$B$2:$O$31,$A17+1,FALSE)</f>
        <v>0</v>
      </c>
      <c r="G17" s="92"/>
      <c r="H17" s="92"/>
      <c r="I17" s="92"/>
      <c r="J17" s="92"/>
      <c r="K17" s="92"/>
    </row>
    <row r="18" spans="1:11">
      <c r="A18" s="82">
        <v>11</v>
      </c>
      <c r="B18" s="90" t="str">
        <f>HLOOKUP(B$2,Modes!$B$2:$E$31,$A18+1)</f>
        <v xml:space="preserve">LED 4 </v>
      </c>
      <c r="C18" s="91">
        <f>HLOOKUP(C$2,Modes!$B$2:$O$31,$A18+1,FALSE)</f>
        <v>0</v>
      </c>
      <c r="D18" s="91">
        <f>HLOOKUP(D$2,Modes!$B$2:$O$31,$A18+1,FALSE)</f>
        <v>6</v>
      </c>
      <c r="E18" s="91">
        <f>HLOOKUP(E$2,Modes!$B$2:$O$31,$A18+1,FALSE)</f>
        <v>200</v>
      </c>
      <c r="F18" s="91">
        <f>HLOOKUP(F$2,Modes!$B$2:$O$31,$A18+1,FALSE)</f>
        <v>0</v>
      </c>
      <c r="G18" s="92"/>
      <c r="H18" s="92"/>
      <c r="I18" s="92"/>
      <c r="J18" s="92"/>
      <c r="K18" s="92"/>
    </row>
    <row r="19" spans="1:11">
      <c r="A19" s="82">
        <v>12</v>
      </c>
      <c r="B19" s="90" t="str">
        <f>HLOOKUP(B$2,Modes!$B$2:$E$31,$A19+1)</f>
        <v>Node 12, BMS</v>
      </c>
      <c r="C19" s="91">
        <f>HLOOKUP(C$2,Modes!$B$2:$O$31,$A19+1,FALSE)</f>
        <v>0</v>
      </c>
      <c r="D19" s="91">
        <f>HLOOKUP(D$2,Modes!$B$2:$O$31,$A19+1,FALSE)</f>
        <v>0</v>
      </c>
      <c r="E19" s="91">
        <f>HLOOKUP(E$2,Modes!$B$2:$O$31,$A19+1,FALSE)</f>
        <v>0</v>
      </c>
      <c r="F19" s="91">
        <f>HLOOKUP(F$2,Modes!$B$2:$O$31,$A19+1,FALSE)</f>
        <v>0</v>
      </c>
      <c r="G19" s="92"/>
      <c r="H19" s="92"/>
      <c r="I19" s="92"/>
      <c r="J19" s="92"/>
      <c r="K19" s="92"/>
    </row>
    <row r="20" spans="1:11">
      <c r="A20" s="82">
        <v>13</v>
      </c>
      <c r="B20" s="90" t="str">
        <f>HLOOKUP(B$2,Modes!$B$2:$E$31,$A20+1)</f>
        <v>Node 13, Batteries Isolation</v>
      </c>
      <c r="C20" s="91">
        <f>HLOOKUP(C$2,Modes!$B$2:$O$31,$A20+1,FALSE)</f>
        <v>0</v>
      </c>
      <c r="D20" s="91">
        <f>HLOOKUP(D$2,Modes!$B$2:$O$31,$A20+1,FALSE)</f>
        <v>0</v>
      </c>
      <c r="E20" s="91">
        <f>HLOOKUP(E$2,Modes!$B$2:$O$31,$A20+1,FALSE)</f>
        <v>0</v>
      </c>
      <c r="F20" s="91">
        <f>HLOOKUP(F$2,Modes!$B$2:$O$31,$A20+1,FALSE)</f>
        <v>0</v>
      </c>
      <c r="G20" s="92"/>
      <c r="H20" s="92"/>
      <c r="I20" s="92"/>
      <c r="J20" s="92"/>
      <c r="K20" s="92"/>
    </row>
    <row r="21" spans="1:11">
      <c r="A21" s="82">
        <v>14</v>
      </c>
      <c r="B21" s="90" t="str">
        <f>HLOOKUP(B$2,Modes!$B$2:$E$31,$A21+1)</f>
        <v>Node 14, LiFePo4 1</v>
      </c>
      <c r="C21" s="91">
        <f>HLOOKUP(C$2,Modes!$B$2:$O$31,$A21+1,FALSE)</f>
        <v>0</v>
      </c>
      <c r="D21" s="91">
        <f>HLOOKUP(D$2,Modes!$B$2:$O$31,$A21+1,FALSE)</f>
        <v>0</v>
      </c>
      <c r="E21" s="91">
        <f>HLOOKUP(E$2,Modes!$B$2:$O$31,$A21+1,FALSE)</f>
        <v>0</v>
      </c>
      <c r="F21" s="91">
        <f>HLOOKUP(F$2,Modes!$B$2:$O$31,$A21+1,FALSE)</f>
        <v>0</v>
      </c>
      <c r="G21" s="92"/>
      <c r="H21" s="92"/>
      <c r="I21" s="92"/>
      <c r="J21" s="92"/>
      <c r="K21" s="92"/>
    </row>
    <row r="22" spans="1:11">
      <c r="A22" s="82">
        <v>15</v>
      </c>
      <c r="B22" s="90" t="str">
        <f>HLOOKUP(B$2,Modes!$B$2:$E$31,$A22+1)</f>
        <v>Node 15, LiFePo4 3</v>
      </c>
      <c r="C22" s="91">
        <f>HLOOKUP(C$2,Modes!$B$2:$O$31,$A22+1,FALSE)</f>
        <v>0</v>
      </c>
      <c r="D22" s="91">
        <f>HLOOKUP(D$2,Modes!$B$2:$O$31,$A22+1,FALSE)</f>
        <v>0</v>
      </c>
      <c r="E22" s="91">
        <f>HLOOKUP(E$2,Modes!$B$2:$O$31,$A22+1,FALSE)</f>
        <v>0</v>
      </c>
      <c r="F22" s="91">
        <f>HLOOKUP(F$2,Modes!$B$2:$O$31,$A22+1,FALSE)</f>
        <v>0</v>
      </c>
      <c r="G22" s="92"/>
      <c r="H22" s="92"/>
      <c r="I22" s="92"/>
      <c r="J22" s="92"/>
      <c r="K22" s="92"/>
    </row>
    <row r="23" spans="1:11">
      <c r="A23" s="82">
        <v>16</v>
      </c>
      <c r="B23" s="90" t="str">
        <f>HLOOKUP(B$2,Modes!$B$2:$E$31,$A23+1)</f>
        <v>Node 16, LiFePo4 2</v>
      </c>
      <c r="C23" s="91">
        <f>HLOOKUP(C$2,Modes!$B$2:$O$31,$A23+1,FALSE)</f>
        <v>0</v>
      </c>
      <c r="D23" s="91">
        <f>HLOOKUP(D$2,Modes!$B$2:$O$31,$A23+1,FALSE)</f>
        <v>0</v>
      </c>
      <c r="E23" s="91">
        <f>HLOOKUP(E$2,Modes!$B$2:$O$31,$A23+1,FALSE)</f>
        <v>0</v>
      </c>
      <c r="F23" s="91">
        <f>HLOOKUP(F$2,Modes!$B$2:$O$31,$A23+1,FALSE)</f>
        <v>0</v>
      </c>
      <c r="G23" s="92"/>
      <c r="H23" s="92"/>
      <c r="I23" s="92"/>
      <c r="J23" s="92"/>
      <c r="K23" s="92"/>
    </row>
    <row r="24" spans="1:11">
      <c r="A24" s="82">
        <v>17</v>
      </c>
      <c r="B24" s="90" t="str">
        <f>HLOOKUP(B$2,Modes!$B$2:$E$31,$A24+1)</f>
        <v>Node 17, LiFePo4 4</v>
      </c>
      <c r="C24" s="91">
        <f>HLOOKUP(C$2,Modes!$B$2:$O$31,$A24+1,FALSE)</f>
        <v>0</v>
      </c>
      <c r="D24" s="91">
        <f>HLOOKUP(D$2,Modes!$B$2:$O$31,$A24+1,FALSE)</f>
        <v>0</v>
      </c>
      <c r="E24" s="91">
        <f>HLOOKUP(E$2,Modes!$B$2:$O$31,$A24+1,FALSE)</f>
        <v>0</v>
      </c>
      <c r="F24" s="91">
        <f>HLOOKUP(F$2,Modes!$B$2:$O$31,$A24+1,FALSE)</f>
        <v>0</v>
      </c>
      <c r="G24" s="92"/>
      <c r="H24" s="92"/>
      <c r="I24" s="92"/>
      <c r="J24" s="92"/>
      <c r="K24" s="92"/>
    </row>
    <row r="25" spans="1:11">
      <c r="A25" s="82">
        <v>18</v>
      </c>
      <c r="B25" s="90" t="str">
        <f>HLOOKUP(B$2,Modes!$B$2:$E$31,$A25+1)</f>
        <v>Node 18, Cell Litio 1</v>
      </c>
      <c r="C25" s="91">
        <f>HLOOKUP(C$2,Modes!$B$2:$O$31,$A25+1,FALSE)</f>
        <v>0</v>
      </c>
      <c r="D25" s="91">
        <f>HLOOKUP(D$2,Modes!$B$2:$O$31,$A25+1,FALSE)</f>
        <v>0</v>
      </c>
      <c r="E25" s="91">
        <f>HLOOKUP(E$2,Modes!$B$2:$O$31,$A25+1,FALSE)</f>
        <v>0</v>
      </c>
      <c r="F25" s="91">
        <f>HLOOKUP(F$2,Modes!$B$2:$O$31,$A25+1,FALSE)</f>
        <v>0</v>
      </c>
      <c r="G25" s="92"/>
      <c r="H25" s="92"/>
      <c r="I25" s="92"/>
      <c r="J25" s="92"/>
      <c r="K25" s="92"/>
    </row>
    <row r="26" spans="1:11">
      <c r="A26" s="82">
        <v>19</v>
      </c>
      <c r="B26" s="90" t="str">
        <f>HLOOKUP(B$2,Modes!$B$2:$E$31,$A26+1)</f>
        <v>Node 19, Cell Litio 2</v>
      </c>
      <c r="C26" s="91">
        <f>HLOOKUP(C$2,Modes!$B$2:$O$31,$A26+1,FALSE)</f>
        <v>0</v>
      </c>
      <c r="D26" s="91">
        <f>HLOOKUP(D$2,Modes!$B$2:$O$31,$A26+1,FALSE)</f>
        <v>0</v>
      </c>
      <c r="E26" s="91">
        <f>HLOOKUP(E$2,Modes!$B$2:$O$31,$A26+1,FALSE)</f>
        <v>0</v>
      </c>
      <c r="F26" s="91">
        <f>HLOOKUP(F$2,Modes!$B$2:$O$31,$A26+1,FALSE)</f>
        <v>0</v>
      </c>
      <c r="G26" s="92"/>
      <c r="H26" s="92"/>
      <c r="I26" s="92"/>
      <c r="J26" s="92"/>
      <c r="K26" s="92"/>
    </row>
    <row r="27" spans="1:11">
      <c r="A27" s="82">
        <v>20</v>
      </c>
      <c r="B27" s="90" t="str">
        <f>HLOOKUP(B$2,Modes!$B$2:$E$31,$A27+1)</f>
        <v>Node 20, LoMo</v>
      </c>
      <c r="C27" s="91">
        <f>HLOOKUP(C$2,Modes!$B$2:$O$31,$A27+1,FALSE)</f>
        <v>0</v>
      </c>
      <c r="D27" s="91">
        <f>HLOOKUP(D$2,Modes!$B$2:$O$31,$A27+1,FALSE)</f>
        <v>0</v>
      </c>
      <c r="E27" s="91">
        <f>HLOOKUP(E$2,Modes!$B$2:$O$31,$A27+1,FALSE)</f>
        <v>0</v>
      </c>
      <c r="F27" s="91">
        <f>HLOOKUP(F$2,Modes!$B$2:$O$31,$A27+1,FALSE)</f>
        <v>0</v>
      </c>
      <c r="G27" s="92"/>
      <c r="H27" s="92"/>
      <c r="I27" s="92"/>
      <c r="J27" s="92"/>
      <c r="K27" s="92"/>
    </row>
    <row r="28" spans="1:11">
      <c r="A28" s="82">
        <v>21</v>
      </c>
      <c r="B28" s="90" t="str">
        <f>HLOOKUP(B$2,Modes!$B$2:$E$31,$A28+1)</f>
        <v>Node 21, Transceiver(Tx-Rx)</v>
      </c>
      <c r="C28" s="91">
        <f>HLOOKUP(C$2,Modes!$B$2:$O$31,$A28+1,FALSE)</f>
        <v>0</v>
      </c>
      <c r="D28" s="91">
        <f>HLOOKUP(D$2,Modes!$B$2:$O$31,$A28+1,FALSE)</f>
        <v>0</v>
      </c>
      <c r="E28" s="91">
        <f>HLOOKUP(E$2,Modes!$B$2:$O$31,$A28+1,FALSE)</f>
        <v>0</v>
      </c>
      <c r="F28" s="91">
        <f>HLOOKUP(F$2,Modes!$B$2:$O$31,$A28+1,FALSE)</f>
        <v>0</v>
      </c>
      <c r="G28" s="92"/>
      <c r="H28" s="92"/>
      <c r="I28" s="92"/>
      <c r="J28" s="92"/>
      <c r="K28" s="92"/>
    </row>
    <row r="29" spans="1:11">
      <c r="A29" s="82">
        <v>22</v>
      </c>
      <c r="B29" s="90" t="str">
        <f>HLOOKUP(B$2,Modes!$B$2:$E$31,$A29+1)</f>
        <v>Node 22, Antena module</v>
      </c>
      <c r="C29" s="91">
        <f>HLOOKUP(C$2,Modes!$B$2:$O$31,$A29+1,FALSE)</f>
        <v>0</v>
      </c>
      <c r="D29" s="91">
        <f>HLOOKUP(D$2,Modes!$B$2:$O$31,$A29+1,FALSE)</f>
        <v>0</v>
      </c>
      <c r="E29" s="91">
        <f>HLOOKUP(E$2,Modes!$B$2:$O$31,$A29+1,FALSE)</f>
        <v>0</v>
      </c>
      <c r="F29" s="91">
        <f>HLOOKUP(F$2,Modes!$B$2:$O$31,$A29+1,FALSE)</f>
        <v>0</v>
      </c>
      <c r="G29" s="92"/>
      <c r="H29" s="92"/>
      <c r="I29" s="92"/>
      <c r="J29" s="92"/>
      <c r="K29" s="92"/>
    </row>
    <row r="30" spans="1:11">
      <c r="A30" s="82">
        <v>23</v>
      </c>
      <c r="B30" s="90" t="str">
        <f>HLOOKUP(B$2,Modes!$B$2:$E$31,$A30+1)</f>
        <v>Node 23, OBC</v>
      </c>
      <c r="C30" s="91">
        <f>HLOOKUP(C$2,Modes!$B$2:$O$31,$A30+1,FALSE)</f>
        <v>0</v>
      </c>
      <c r="D30" s="91">
        <f>HLOOKUP(D$2,Modes!$B$2:$O$31,$A30+1,FALSE)</f>
        <v>0</v>
      </c>
      <c r="E30" s="91">
        <f>HLOOKUP(E$2,Modes!$B$2:$O$31,$A30+1,FALSE)</f>
        <v>0</v>
      </c>
      <c r="F30" s="91">
        <f>HLOOKUP(F$2,Modes!$B$2:$O$31,$A30+1,FALSE)</f>
        <v>0</v>
      </c>
      <c r="G30" s="92"/>
      <c r="H30" s="92"/>
      <c r="I30" s="92"/>
      <c r="J30" s="92"/>
      <c r="K30" s="92"/>
    </row>
    <row r="31" spans="1:11">
      <c r="A31" s="82">
        <v>24</v>
      </c>
      <c r="B31" s="90" t="str">
        <f>HLOOKUP(B$2,Modes!$B$2:$E$31,$A31+1)</f>
        <v>Node 24, Solar Panel (Y)</v>
      </c>
      <c r="C31" s="91">
        <f>HLOOKUP(C$2,Modes!$B$2:$O$31,$A31+1,FALSE)</f>
        <v>0</v>
      </c>
      <c r="D31" s="91">
        <f>HLOOKUP(D$2,Modes!$B$2:$O$31,$A31+1,FALSE)</f>
        <v>0</v>
      </c>
      <c r="E31" s="91">
        <f>HLOOKUP(E$2,Modes!$B$2:$O$31,$A31+1,FALSE)</f>
        <v>0</v>
      </c>
      <c r="F31" s="91">
        <f>HLOOKUP(F$2,Modes!$B$2:$O$31,$A31+1,FALSE)</f>
        <v>0</v>
      </c>
      <c r="G31" s="92"/>
      <c r="H31" s="92"/>
      <c r="I31" s="92"/>
      <c r="J31" s="92"/>
      <c r="K31" s="92"/>
    </row>
    <row r="32" spans="1:11">
      <c r="A32" s="82">
        <v>25</v>
      </c>
      <c r="B32" s="90" t="str">
        <f>HLOOKUP(B$2,Modes!$B$2:$E$31,$A32+1)</f>
        <v>Node 25, Solar Panel (-Y)</v>
      </c>
      <c r="C32" s="91">
        <f>HLOOKUP(C$2,Modes!$B$2:$O$31,$A32+1,FALSE)</f>
        <v>0</v>
      </c>
      <c r="D32" s="91">
        <f>HLOOKUP(D$2,Modes!$B$2:$O$31,$A32+1,FALSE)</f>
        <v>0</v>
      </c>
      <c r="E32" s="91">
        <f>HLOOKUP(E$2,Modes!$B$2:$O$31,$A32+1,FALSE)</f>
        <v>0</v>
      </c>
      <c r="F32" s="91">
        <f>HLOOKUP(F$2,Modes!$B$2:$O$31,$A32+1,FALSE)</f>
        <v>0</v>
      </c>
      <c r="G32" s="92"/>
      <c r="H32" s="92"/>
      <c r="I32" s="92"/>
      <c r="J32" s="92"/>
      <c r="K32" s="92"/>
    </row>
    <row r="33" spans="1:11">
      <c r="A33" s="82">
        <v>26</v>
      </c>
      <c r="B33" s="90" t="str">
        <f>HLOOKUP(B$2,Modes!$B$2:$E$31,$A33+1)</f>
        <v>Node 26, Solar Panel (X)</v>
      </c>
      <c r="C33" s="91">
        <f>HLOOKUP(C$2,Modes!$B$2:$O$31,$A33+1,FALSE)</f>
        <v>0</v>
      </c>
      <c r="D33" s="91">
        <f>HLOOKUP(D$2,Modes!$B$2:$O$31,$A33+1,FALSE)</f>
        <v>0</v>
      </c>
      <c r="E33" s="91">
        <f>HLOOKUP(E$2,Modes!$B$2:$O$31,$A33+1,FALSE)</f>
        <v>0</v>
      </c>
      <c r="F33" s="91">
        <f>HLOOKUP(F$2,Modes!$B$2:$O$31,$A33+1,FALSE)</f>
        <v>0</v>
      </c>
      <c r="G33" s="92"/>
      <c r="H33" s="92"/>
      <c r="I33" s="92"/>
      <c r="J33" s="92"/>
      <c r="K33" s="92"/>
    </row>
    <row r="34" spans="1:11">
      <c r="A34" s="82">
        <v>27</v>
      </c>
      <c r="B34" s="90" t="str">
        <f>HLOOKUP(B$2,Modes!$B$2:$E$31,$A34+1)</f>
        <v>Node 27, Solar Panel (-X)RBF</v>
      </c>
      <c r="C34" s="91">
        <f>HLOOKUP(C$2,Modes!$B$2:$O$31,$A34+1,FALSE)</f>
        <v>0</v>
      </c>
      <c r="D34" s="91">
        <f>HLOOKUP(D$2,Modes!$B$2:$O$31,$A34+1,FALSE)</f>
        <v>0</v>
      </c>
      <c r="E34" s="91">
        <f>HLOOKUP(E$2,Modes!$B$2:$O$31,$A34+1,FALSE)</f>
        <v>0</v>
      </c>
      <c r="F34" s="91">
        <f>HLOOKUP(F$2,Modes!$B$2:$O$31,$A34+1,FALSE)</f>
        <v>0</v>
      </c>
      <c r="G34" s="92"/>
      <c r="H34" s="92"/>
      <c r="I34" s="92"/>
      <c r="J34" s="92"/>
      <c r="K34" s="92"/>
    </row>
    <row r="35" spans="1:11">
      <c r="A35" s="82">
        <v>28</v>
      </c>
      <c r="B35" s="90" t="str">
        <f>HLOOKUP(B$2,Modes!$B$2:$E$31,$A35+1)</f>
        <v>Node 28, Solar Panel (-Z(antenna))</v>
      </c>
      <c r="C35" s="91">
        <f>HLOOKUP(C$2,Modes!$B$2:$O$31,$A35+1,FALSE)</f>
        <v>0</v>
      </c>
      <c r="D35" s="91">
        <f>HLOOKUP(D$2,Modes!$B$2:$O$31,$A35+1,FALSE)</f>
        <v>0</v>
      </c>
      <c r="E35" s="91">
        <f>HLOOKUP(E$2,Modes!$B$2:$O$31,$A35+1,FALSE)</f>
        <v>0</v>
      </c>
      <c r="F35" s="91">
        <f>HLOOKUP(F$2,Modes!$B$2:$O$31,$A35+1,FALSE)</f>
        <v>0</v>
      </c>
      <c r="G35" s="92"/>
      <c r="H35" s="92"/>
      <c r="I35" s="92"/>
      <c r="J35" s="92"/>
      <c r="K35" s="92"/>
    </row>
    <row r="36" spans="1:11" ht="15.75" thickBot="1">
      <c r="A36" s="82">
        <v>29</v>
      </c>
      <c r="B36" s="93" t="str">
        <f>HLOOKUP(B$2,Modes!$B$2:$E$31,$A36+1)</f>
        <v>Node 29, EPS de alta</v>
      </c>
      <c r="C36" s="91">
        <f>HLOOKUP(C$2,Modes!$B$2:$O$31,$A36+1,FALSE)</f>
        <v>0</v>
      </c>
      <c r="D36" s="91">
        <f>HLOOKUP(D$2,Modes!$B$2:$O$31,$A36+1,FALSE)</f>
        <v>0</v>
      </c>
      <c r="E36" s="91">
        <f>HLOOKUP(E$2,Modes!$B$2:$O$31,$A36+1,FALSE)</f>
        <v>0</v>
      </c>
      <c r="F36" s="91">
        <f>HLOOKUP(F$2,Modes!$B$2:$O$31,$A36+1,FALSE)</f>
        <v>0</v>
      </c>
      <c r="G36" s="92"/>
      <c r="H36" s="92"/>
      <c r="I36" s="92"/>
      <c r="J36" s="92"/>
      <c r="K36" s="92"/>
    </row>
    <row r="37" spans="1:11">
      <c r="B37" s="8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E14" sqref="E14"/>
    </sheetView>
  </sheetViews>
  <sheetFormatPr baseColWidth="10" defaultRowHeight="15"/>
  <cols>
    <col min="2" max="2" width="32" bestFit="1" customWidth="1"/>
  </cols>
  <sheetData>
    <row r="1" spans="2:15" ht="15.75" thickBot="1"/>
    <row r="2" spans="2:15" ht="15.75" thickBot="1">
      <c r="B2" s="149" t="s">
        <v>255</v>
      </c>
      <c r="C2" s="111" t="s">
        <v>258</v>
      </c>
      <c r="D2" s="112" t="s">
        <v>256</v>
      </c>
      <c r="E2" s="112" t="s">
        <v>257</v>
      </c>
      <c r="F2" s="113"/>
      <c r="G2" s="113"/>
      <c r="H2" s="113"/>
      <c r="I2" s="113"/>
      <c r="J2" s="113"/>
      <c r="K2" s="113"/>
      <c r="L2" s="113"/>
      <c r="M2" s="113"/>
      <c r="N2" s="113"/>
      <c r="O2" s="114"/>
    </row>
    <row r="3" spans="2:15">
      <c r="B3" s="124" t="s">
        <v>213</v>
      </c>
      <c r="C3" s="115">
        <v>0</v>
      </c>
      <c r="D3" s="116">
        <v>0</v>
      </c>
      <c r="E3" s="116">
        <v>0</v>
      </c>
      <c r="F3" s="116"/>
      <c r="G3" s="116"/>
      <c r="H3" s="116"/>
      <c r="I3" s="116"/>
      <c r="J3" s="116"/>
      <c r="K3" s="116"/>
      <c r="L3" s="116"/>
      <c r="M3" s="116"/>
      <c r="N3" s="116"/>
      <c r="O3" s="117"/>
    </row>
    <row r="4" spans="2:15">
      <c r="B4" s="125" t="s">
        <v>214</v>
      </c>
      <c r="C4" s="118">
        <v>0</v>
      </c>
      <c r="D4" s="84">
        <v>0</v>
      </c>
      <c r="E4" s="84">
        <v>0</v>
      </c>
      <c r="F4" s="84"/>
      <c r="G4" s="84"/>
      <c r="H4" s="84"/>
      <c r="I4" s="84"/>
      <c r="J4" s="84"/>
      <c r="K4" s="84"/>
      <c r="L4" s="84"/>
      <c r="M4" s="84"/>
      <c r="N4" s="84"/>
      <c r="O4" s="119"/>
    </row>
    <row r="5" spans="2:15">
      <c r="B5" s="125" t="s">
        <v>215</v>
      </c>
      <c r="C5" s="118">
        <v>0</v>
      </c>
      <c r="D5" s="84">
        <v>0</v>
      </c>
      <c r="E5" s="84">
        <v>0</v>
      </c>
      <c r="F5" s="84"/>
      <c r="G5" s="84"/>
      <c r="H5" s="84"/>
      <c r="I5" s="84"/>
      <c r="J5" s="84"/>
      <c r="K5" s="84"/>
      <c r="L5" s="84"/>
      <c r="M5" s="84"/>
      <c r="N5" s="84"/>
      <c r="O5" s="119"/>
    </row>
    <row r="6" spans="2:15">
      <c r="B6" s="125" t="s">
        <v>216</v>
      </c>
      <c r="C6" s="118">
        <v>0</v>
      </c>
      <c r="D6" s="84">
        <v>0</v>
      </c>
      <c r="E6" s="84">
        <v>0</v>
      </c>
      <c r="F6" s="84"/>
      <c r="G6" s="84"/>
      <c r="H6" s="84"/>
      <c r="I6" s="84"/>
      <c r="J6" s="84"/>
      <c r="K6" s="84"/>
      <c r="L6" s="84"/>
      <c r="M6" s="84"/>
      <c r="N6" s="84"/>
      <c r="O6" s="119"/>
    </row>
    <row r="7" spans="2:15">
      <c r="B7" s="125" t="s">
        <v>217</v>
      </c>
      <c r="C7" s="118">
        <v>0</v>
      </c>
      <c r="D7" s="84">
        <v>0</v>
      </c>
      <c r="E7" s="84">
        <v>0</v>
      </c>
      <c r="F7" s="84"/>
      <c r="G7" s="84"/>
      <c r="H7" s="84"/>
      <c r="I7" s="84"/>
      <c r="J7" s="84"/>
      <c r="K7" s="84"/>
      <c r="L7" s="84"/>
      <c r="M7" s="84"/>
      <c r="N7" s="84"/>
      <c r="O7" s="119"/>
    </row>
    <row r="8" spans="2:15">
      <c r="B8" s="125" t="s">
        <v>218</v>
      </c>
      <c r="C8" s="118">
        <v>0</v>
      </c>
      <c r="D8" s="84">
        <v>0</v>
      </c>
      <c r="E8" s="84">
        <v>0</v>
      </c>
      <c r="F8" s="84"/>
      <c r="G8" s="84"/>
      <c r="H8" s="84"/>
      <c r="I8" s="84"/>
      <c r="J8" s="84"/>
      <c r="K8" s="84"/>
      <c r="L8" s="84"/>
      <c r="M8" s="84"/>
      <c r="N8" s="84"/>
      <c r="O8" s="119"/>
    </row>
    <row r="9" spans="2:15">
      <c r="B9" s="125" t="s">
        <v>219</v>
      </c>
      <c r="C9" s="118">
        <v>0</v>
      </c>
      <c r="D9" s="84">
        <v>0</v>
      </c>
      <c r="E9" s="84">
        <v>0</v>
      </c>
      <c r="F9" s="84"/>
      <c r="G9" s="84"/>
      <c r="H9" s="84"/>
      <c r="I9" s="84"/>
      <c r="J9" s="84"/>
      <c r="K9" s="84"/>
      <c r="L9" s="84"/>
      <c r="M9" s="84"/>
      <c r="N9" s="84"/>
      <c r="O9" s="119"/>
    </row>
    <row r="10" spans="2:15">
      <c r="B10" s="125" t="s">
        <v>220</v>
      </c>
      <c r="C10" s="118">
        <v>0</v>
      </c>
      <c r="D10" s="84">
        <v>200</v>
      </c>
      <c r="E10" s="84">
        <v>6</v>
      </c>
      <c r="F10" s="84"/>
      <c r="G10" s="84"/>
      <c r="H10" s="84"/>
      <c r="I10" s="84"/>
      <c r="J10" s="84"/>
      <c r="K10" s="84"/>
      <c r="L10" s="84"/>
      <c r="M10" s="84"/>
      <c r="N10" s="84"/>
      <c r="O10" s="119"/>
    </row>
    <row r="11" spans="2:15">
      <c r="B11" s="125" t="s">
        <v>221</v>
      </c>
      <c r="C11" s="118">
        <v>0</v>
      </c>
      <c r="D11" s="84">
        <v>200</v>
      </c>
      <c r="E11" s="84">
        <v>6</v>
      </c>
      <c r="F11" s="84"/>
      <c r="G11" s="84"/>
      <c r="H11" s="84"/>
      <c r="I11" s="84"/>
      <c r="J11" s="84"/>
      <c r="K11" s="84"/>
      <c r="L11" s="84"/>
      <c r="M11" s="84"/>
      <c r="N11" s="84"/>
      <c r="O11" s="119"/>
    </row>
    <row r="12" spans="2:15">
      <c r="B12" s="125" t="s">
        <v>222</v>
      </c>
      <c r="C12" s="118">
        <v>0</v>
      </c>
      <c r="D12" s="84">
        <v>200</v>
      </c>
      <c r="E12" s="84">
        <v>6</v>
      </c>
      <c r="F12" s="84"/>
      <c r="G12" s="84"/>
      <c r="H12" s="84"/>
      <c r="I12" s="84"/>
      <c r="J12" s="84"/>
      <c r="K12" s="84"/>
      <c r="L12" s="84"/>
      <c r="M12" s="84"/>
      <c r="N12" s="84"/>
      <c r="O12" s="119"/>
    </row>
    <row r="13" spans="2:15">
      <c r="B13" s="125" t="s">
        <v>223</v>
      </c>
      <c r="C13" s="118">
        <v>0</v>
      </c>
      <c r="D13" s="84">
        <v>200</v>
      </c>
      <c r="E13" s="84">
        <v>6</v>
      </c>
      <c r="F13" s="84"/>
      <c r="G13" s="84"/>
      <c r="H13" s="84"/>
      <c r="I13" s="84"/>
      <c r="J13" s="84"/>
      <c r="K13" s="84"/>
      <c r="L13" s="84"/>
      <c r="M13" s="84"/>
      <c r="N13" s="84"/>
      <c r="O13" s="119"/>
    </row>
    <row r="14" spans="2:15">
      <c r="B14" s="125" t="s">
        <v>224</v>
      </c>
      <c r="C14" s="118">
        <v>0</v>
      </c>
      <c r="D14" s="84">
        <v>0</v>
      </c>
      <c r="E14" s="84">
        <v>0</v>
      </c>
      <c r="F14" s="84"/>
      <c r="G14" s="84"/>
      <c r="H14" s="84"/>
      <c r="I14" s="84"/>
      <c r="J14" s="84"/>
      <c r="K14" s="84"/>
      <c r="L14" s="84"/>
      <c r="M14" s="84"/>
      <c r="N14" s="84"/>
      <c r="O14" s="119"/>
    </row>
    <row r="15" spans="2:15">
      <c r="B15" s="125" t="s">
        <v>225</v>
      </c>
      <c r="C15" s="118">
        <v>0</v>
      </c>
      <c r="D15" s="84">
        <v>0</v>
      </c>
      <c r="E15" s="84">
        <v>0</v>
      </c>
      <c r="F15" s="84"/>
      <c r="G15" s="84"/>
      <c r="H15" s="84"/>
      <c r="I15" s="84"/>
      <c r="J15" s="84"/>
      <c r="K15" s="84"/>
      <c r="L15" s="84"/>
      <c r="M15" s="84"/>
      <c r="N15" s="84"/>
      <c r="O15" s="119"/>
    </row>
    <row r="16" spans="2:15">
      <c r="B16" s="125" t="s">
        <v>226</v>
      </c>
      <c r="C16" s="118">
        <v>0</v>
      </c>
      <c r="D16" s="84">
        <v>0</v>
      </c>
      <c r="E16" s="84">
        <v>0</v>
      </c>
      <c r="F16" s="84"/>
      <c r="G16" s="84"/>
      <c r="H16" s="84"/>
      <c r="I16" s="84"/>
      <c r="J16" s="84"/>
      <c r="K16" s="84"/>
      <c r="L16" s="84"/>
      <c r="M16" s="84"/>
      <c r="N16" s="84"/>
      <c r="O16" s="119"/>
    </row>
    <row r="17" spans="2:15">
      <c r="B17" s="125" t="s">
        <v>227</v>
      </c>
      <c r="C17" s="118">
        <v>0</v>
      </c>
      <c r="D17" s="84">
        <v>0</v>
      </c>
      <c r="E17" s="84">
        <v>0</v>
      </c>
      <c r="F17" s="84"/>
      <c r="G17" s="84"/>
      <c r="H17" s="84"/>
      <c r="I17" s="84"/>
      <c r="J17" s="84"/>
      <c r="K17" s="84"/>
      <c r="L17" s="84"/>
      <c r="M17" s="84"/>
      <c r="N17" s="84"/>
      <c r="O17" s="119"/>
    </row>
    <row r="18" spans="2:15">
      <c r="B18" s="125" t="s">
        <v>228</v>
      </c>
      <c r="C18" s="118">
        <v>0</v>
      </c>
      <c r="D18" s="84">
        <v>0</v>
      </c>
      <c r="E18" s="84">
        <v>0</v>
      </c>
      <c r="F18" s="84"/>
      <c r="G18" s="84"/>
      <c r="H18" s="84"/>
      <c r="I18" s="84"/>
      <c r="J18" s="84"/>
      <c r="K18" s="84"/>
      <c r="L18" s="84"/>
      <c r="M18" s="84"/>
      <c r="N18" s="84"/>
      <c r="O18" s="119"/>
    </row>
    <row r="19" spans="2:15">
      <c r="B19" s="125" t="s">
        <v>229</v>
      </c>
      <c r="C19" s="118">
        <v>0</v>
      </c>
      <c r="D19" s="84">
        <v>0</v>
      </c>
      <c r="E19" s="84">
        <v>0</v>
      </c>
      <c r="F19" s="84"/>
      <c r="G19" s="84"/>
      <c r="H19" s="84"/>
      <c r="I19" s="84"/>
      <c r="J19" s="84"/>
      <c r="K19" s="84"/>
      <c r="L19" s="84"/>
      <c r="M19" s="84"/>
      <c r="N19" s="84"/>
      <c r="O19" s="119"/>
    </row>
    <row r="20" spans="2:15">
      <c r="B20" s="125" t="s">
        <v>230</v>
      </c>
      <c r="C20" s="118">
        <v>0</v>
      </c>
      <c r="D20" s="84">
        <v>0</v>
      </c>
      <c r="E20" s="84">
        <v>0</v>
      </c>
      <c r="F20" s="84"/>
      <c r="G20" s="84"/>
      <c r="H20" s="84"/>
      <c r="I20" s="84"/>
      <c r="J20" s="84"/>
      <c r="K20" s="84"/>
      <c r="L20" s="84"/>
      <c r="M20" s="84"/>
      <c r="N20" s="84"/>
      <c r="O20" s="119"/>
    </row>
    <row r="21" spans="2:15">
      <c r="B21" s="125" t="s">
        <v>231</v>
      </c>
      <c r="C21" s="118">
        <v>0</v>
      </c>
      <c r="D21" s="84">
        <v>0</v>
      </c>
      <c r="E21" s="84">
        <v>0</v>
      </c>
      <c r="F21" s="84"/>
      <c r="G21" s="84"/>
      <c r="H21" s="84"/>
      <c r="I21" s="84"/>
      <c r="J21" s="84"/>
      <c r="K21" s="84"/>
      <c r="L21" s="84"/>
      <c r="M21" s="84"/>
      <c r="N21" s="84"/>
      <c r="O21" s="119"/>
    </row>
    <row r="22" spans="2:15">
      <c r="B22" s="125" t="s">
        <v>232</v>
      </c>
      <c r="C22" s="118">
        <v>0</v>
      </c>
      <c r="D22" s="84">
        <v>0</v>
      </c>
      <c r="E22" s="84">
        <v>0</v>
      </c>
      <c r="F22" s="84"/>
      <c r="G22" s="84"/>
      <c r="H22" s="84"/>
      <c r="I22" s="84"/>
      <c r="J22" s="84"/>
      <c r="K22" s="84"/>
      <c r="L22" s="84"/>
      <c r="M22" s="84"/>
      <c r="N22" s="84"/>
      <c r="O22" s="119"/>
    </row>
    <row r="23" spans="2:15">
      <c r="B23" s="125" t="s">
        <v>233</v>
      </c>
      <c r="C23" s="118">
        <v>0</v>
      </c>
      <c r="D23" s="84">
        <v>0</v>
      </c>
      <c r="E23" s="84">
        <v>0</v>
      </c>
      <c r="F23" s="84"/>
      <c r="G23" s="84"/>
      <c r="H23" s="84"/>
      <c r="I23" s="84"/>
      <c r="J23" s="84"/>
      <c r="K23" s="84"/>
      <c r="L23" s="84"/>
      <c r="M23" s="84"/>
      <c r="N23" s="84"/>
      <c r="O23" s="119"/>
    </row>
    <row r="24" spans="2:15">
      <c r="B24" s="125" t="s">
        <v>234</v>
      </c>
      <c r="C24" s="118">
        <v>0</v>
      </c>
      <c r="D24" s="84">
        <v>0</v>
      </c>
      <c r="E24" s="84">
        <v>0</v>
      </c>
      <c r="F24" s="84"/>
      <c r="G24" s="84"/>
      <c r="H24" s="84"/>
      <c r="I24" s="84"/>
      <c r="J24" s="84"/>
      <c r="K24" s="84"/>
      <c r="L24" s="84"/>
      <c r="M24" s="84"/>
      <c r="N24" s="84"/>
      <c r="O24" s="119"/>
    </row>
    <row r="25" spans="2:15">
      <c r="B25" s="125" t="s">
        <v>235</v>
      </c>
      <c r="C25" s="118">
        <v>0</v>
      </c>
      <c r="D25" s="84">
        <v>0</v>
      </c>
      <c r="E25" s="84">
        <v>0</v>
      </c>
      <c r="F25" s="84"/>
      <c r="G25" s="84"/>
      <c r="H25" s="84"/>
      <c r="I25" s="84"/>
      <c r="J25" s="84"/>
      <c r="K25" s="84"/>
      <c r="L25" s="84"/>
      <c r="M25" s="84"/>
      <c r="N25" s="84"/>
      <c r="O25" s="119"/>
    </row>
    <row r="26" spans="2:15">
      <c r="B26" s="125" t="s">
        <v>236</v>
      </c>
      <c r="C26" s="118">
        <v>0</v>
      </c>
      <c r="D26" s="84">
        <v>0</v>
      </c>
      <c r="E26" s="84">
        <v>0</v>
      </c>
      <c r="F26" s="84"/>
      <c r="G26" s="84"/>
      <c r="H26" s="84"/>
      <c r="I26" s="84"/>
      <c r="J26" s="84"/>
      <c r="K26" s="84"/>
      <c r="L26" s="84"/>
      <c r="M26" s="84"/>
      <c r="N26" s="84"/>
      <c r="O26" s="119"/>
    </row>
    <row r="27" spans="2:15">
      <c r="B27" s="125" t="s">
        <v>237</v>
      </c>
      <c r="C27" s="118">
        <v>0</v>
      </c>
      <c r="D27" s="84">
        <v>0</v>
      </c>
      <c r="E27" s="84">
        <v>0</v>
      </c>
      <c r="F27" s="84"/>
      <c r="G27" s="84"/>
      <c r="H27" s="84"/>
      <c r="I27" s="84"/>
      <c r="J27" s="84"/>
      <c r="K27" s="84"/>
      <c r="L27" s="84"/>
      <c r="M27" s="84"/>
      <c r="N27" s="84"/>
      <c r="O27" s="119"/>
    </row>
    <row r="28" spans="2:15">
      <c r="B28" s="125" t="s">
        <v>238</v>
      </c>
      <c r="C28" s="118">
        <v>0</v>
      </c>
      <c r="D28" s="84">
        <v>0</v>
      </c>
      <c r="E28" s="84">
        <v>0</v>
      </c>
      <c r="F28" s="84"/>
      <c r="G28" s="84"/>
      <c r="H28" s="84"/>
      <c r="I28" s="84"/>
      <c r="J28" s="84"/>
      <c r="K28" s="84"/>
      <c r="L28" s="84"/>
      <c r="M28" s="84"/>
      <c r="N28" s="84"/>
      <c r="O28" s="119"/>
    </row>
    <row r="29" spans="2:15">
      <c r="B29" s="125" t="s">
        <v>239</v>
      </c>
      <c r="C29" s="118">
        <v>0</v>
      </c>
      <c r="D29" s="84">
        <v>0</v>
      </c>
      <c r="E29" s="84">
        <v>0</v>
      </c>
      <c r="F29" s="84"/>
      <c r="G29" s="84"/>
      <c r="H29" s="84"/>
      <c r="I29" s="84"/>
      <c r="J29" s="84"/>
      <c r="K29" s="84"/>
      <c r="L29" s="84"/>
      <c r="M29" s="84"/>
      <c r="N29" s="84"/>
      <c r="O29" s="119"/>
    </row>
    <row r="30" spans="2:15">
      <c r="B30" s="125" t="s">
        <v>240</v>
      </c>
      <c r="C30" s="118">
        <v>0</v>
      </c>
      <c r="D30" s="84">
        <v>0</v>
      </c>
      <c r="E30" s="84">
        <v>0</v>
      </c>
      <c r="F30" s="84"/>
      <c r="G30" s="84"/>
      <c r="H30" s="84"/>
      <c r="I30" s="84"/>
      <c r="J30" s="84"/>
      <c r="K30" s="84"/>
      <c r="L30" s="84"/>
      <c r="M30" s="84"/>
      <c r="N30" s="84"/>
      <c r="O30" s="119"/>
    </row>
    <row r="31" spans="2:15">
      <c r="B31" s="126" t="s">
        <v>241</v>
      </c>
      <c r="C31" s="122">
        <v>0</v>
      </c>
      <c r="D31" s="107">
        <v>0</v>
      </c>
      <c r="E31" s="107">
        <v>0</v>
      </c>
      <c r="F31" s="107"/>
      <c r="G31" s="107"/>
      <c r="H31" s="107"/>
      <c r="I31" s="107"/>
      <c r="J31" s="107"/>
      <c r="K31" s="107"/>
      <c r="L31" s="107"/>
      <c r="M31" s="107"/>
      <c r="N31" s="107"/>
      <c r="O31" s="123"/>
    </row>
    <row r="32" spans="2:15">
      <c r="B32" s="89"/>
      <c r="C32" s="89"/>
      <c r="D32" s="89"/>
      <c r="E32" s="89"/>
      <c r="F32" s="89"/>
      <c r="G32" s="89"/>
      <c r="H32" s="89"/>
      <c r="I32" s="89"/>
      <c r="J32" s="89"/>
      <c r="K32" s="89"/>
      <c r="L32" s="89"/>
      <c r="M32" s="89"/>
      <c r="N32" s="89"/>
      <c r="O32" s="8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A2" sqref="A2"/>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3"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3"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3"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3"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3"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3"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3"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3"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3"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3"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3"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3"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3"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3"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3"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3"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3"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3"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3"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3"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3"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3"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3"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3"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3"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3"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3"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3"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3"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Instrucciones de uso</vt:lpstr>
      <vt:lpstr>Nodes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2025-03-14T19:06:42Z</dcterms:modified>
</cp:coreProperties>
</file>