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42C046AC-85D6-417F-9D79-6143E57E1310}" xr6:coauthVersionLast="47" xr6:coauthVersionMax="47" xr10:uidLastSave="{00000000-0000-0000-0000-000000000000}"/>
  <bookViews>
    <workbookView xWindow="-120" yWindow="-120" windowWidth="29040" windowHeight="15840" firstSheet="3" activeTab="3" xr2:uid="{00000000-000D-0000-FFFF-FFFF00000000}"/>
  </bookViews>
  <sheets>
    <sheet name="Instrucciones de uso" sheetId="9" r:id="rId1"/>
    <sheet name="Nodes properties" sheetId="1" r:id="rId2"/>
    <sheet name="Conductances determination" sheetId="3" r:id="rId3"/>
    <sheet name="Startup Parameters" sheetId="7" r:id="rId4"/>
    <sheet name="Orbital Parameters" sheetId="8" r:id="rId5"/>
    <sheet name="Nodes thermal properties" sheetId="4" r:id="rId6"/>
    <sheet name="Operation" sheetId="5" r:id="rId7"/>
    <sheet name="Modes" sheetId="6" r:id="rId8"/>
    <sheet name="Conductances_between_nodes" sheetId="2"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jKFLR0Am3JTZ+8bb0VcOSu/VdiBw=="/>
    </ext>
  </extLst>
</workbook>
</file>

<file path=xl/calcChain.xml><?xml version="1.0" encoding="utf-8"?>
<calcChain xmlns="http://schemas.openxmlformats.org/spreadsheetml/2006/main">
  <c r="B86" i="3" l="1"/>
  <c r="B84" i="3"/>
  <c r="B37" i="3"/>
  <c r="I6" i="3"/>
  <c r="B17" i="3"/>
  <c r="F8" i="5"/>
  <c r="D8" i="5"/>
  <c r="C8" i="5"/>
  <c r="B19" i="5"/>
  <c r="E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C3" i="5"/>
  <c r="D3" i="5" s="1"/>
  <c r="E3" i="5" s="1"/>
  <c r="F3" i="5" s="1"/>
  <c r="C9" i="5"/>
  <c r="C10" i="5"/>
  <c r="C11" i="5"/>
  <c r="C12" i="5"/>
  <c r="C13" i="5"/>
  <c r="C14" i="5"/>
  <c r="C15" i="5"/>
  <c r="C16" i="5"/>
  <c r="C17" i="5"/>
  <c r="C18" i="5"/>
  <c r="C19" i="5"/>
  <c r="C20" i="5"/>
  <c r="C21" i="5"/>
  <c r="C22" i="5"/>
  <c r="C23" i="5"/>
  <c r="C24" i="5"/>
  <c r="B9" i="5"/>
  <c r="B10" i="5"/>
  <c r="B11" i="5"/>
  <c r="B12" i="5"/>
  <c r="B13" i="5"/>
  <c r="B14" i="5"/>
  <c r="B15" i="5"/>
  <c r="B16" i="5"/>
  <c r="B17" i="5"/>
  <c r="B18" i="5"/>
  <c r="B20" i="5"/>
  <c r="B21" i="5"/>
  <c r="B22" i="5"/>
  <c r="B23" i="5"/>
  <c r="B24" i="5"/>
  <c r="B8" i="5"/>
  <c r="B127" i="3"/>
  <c r="B126" i="3"/>
  <c r="B115" i="3"/>
  <c r="B107" i="3"/>
  <c r="B108" i="3" s="1"/>
  <c r="B97" i="3"/>
  <c r="B96" i="3"/>
  <c r="B73" i="3"/>
  <c r="B72" i="3"/>
  <c r="B61" i="3"/>
  <c r="B60" i="3"/>
  <c r="B49" i="3"/>
  <c r="B48" i="3"/>
  <c r="B36" i="3"/>
  <c r="B25" i="3"/>
  <c r="B18" i="3"/>
  <c r="H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<sst xmlns="http://schemas.openxmlformats.org/spreadsheetml/2006/main" count="778" uniqueCount="286">
  <si>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</si>
  <si>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</si>
  <si>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</si>
  <si>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</si>
  <si>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</si>
  <si>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</si>
  <si>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</si>
  <si>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</si>
  <si>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</si>
  <si>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</si>
  <si>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</si>
  <si>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</si>
  <si>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</si>
  <si>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</si>
  <si>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</si>
  <si>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</si>
  <si>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</si>
  <si>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</si>
  <si>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</si>
  <si>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</si>
  <si>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</si>
  <si>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</si>
  <si>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</si>
  <si>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</si>
  <si>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</si>
  <si>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</si>
  <si>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</si>
  <si>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</si>
  <si>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</si>
  <si>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</si>
  <si>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</si>
  <si>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</si>
  <si>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</si>
  <si>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</si>
  <si>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</si>
  <si>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</si>
  <si>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</si>
  <si>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</si>
  <si>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</si>
  <si>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</si>
  <si>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</si>
  <si>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</si>
  <si>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</si>
  <si>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</si>
  <si>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</si>
  <si>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</si>
  <si>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</si>
  <si>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</si>
  <si>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</si>
  <si>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</si>
  <si>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</si>
  <si>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</si>
  <si>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</si>
  <si>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</si>
  <si>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</si>
  <si>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</si>
  <si>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</si>
  <si>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</si>
  <si>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</si>
  <si>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</si>
  <si>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</si>
  <si>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</si>
  <si>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</si>
  <si>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</si>
  <si>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</si>
  <si>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</si>
  <si>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</si>
  <si>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</si>
  <si>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</si>
  <si>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</si>
  <si>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</si>
  <si>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</si>
  <si>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</si>
  <si>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</si>
  <si>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</si>
  <si>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</si>
  <si>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</si>
  <si>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</si>
  <si>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</si>
  <si>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</si>
  <si>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</si>
  <si>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</si>
  <si>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</si>
  <si>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</si>
  <si>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</si>
  <si>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</si>
  <si>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</si>
  <si>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</si>
  <si>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</si>
  <si>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</si>
  <si>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</si>
  <si>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</si>
  <si>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</si>
  <si>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</si>
  <si>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</si>
  <si>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</si>
  <si>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</si>
  <si>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</si>
  <si>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</si>
  <si>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</si>
  <si>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</si>
  <si>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</si>
  <si>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</si>
  <si>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</si>
  <si>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</si>
  <si>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</si>
  <si>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</si>
  <si>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</si>
  <si>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</si>
  <si>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</si>
  <si>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</si>
  <si>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</si>
  <si>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</si>
  <si>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</si>
  <si>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</si>
  <si>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</si>
  <si>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</si>
  <si>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</si>
  <si>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</si>
  <si>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</si>
  <si>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</si>
  <si>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</si>
  <si>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</si>
  <si>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</si>
  <si>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</si>
  <si>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</si>
  <si>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</si>
  <si>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</si>
  <si>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</si>
  <si>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</si>
  <si>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</si>
  <si>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</si>
  <si>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</si>
  <si>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</si>
  <si>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</si>
  <si>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</si>
  <si>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</si>
  <si>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</si>
  <si>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</si>
  <si>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</si>
  <si>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</si>
  <si>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</si>
  <si>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</si>
  <si>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</si>
  <si>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</si>
  <si>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</si>
  <si>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</si>
  <si>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</si>
  <si>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</si>
  <si>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</si>
  <si>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</si>
  <si>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</si>
  <si>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</si>
  <si>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</si>
  <si>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</si>
  <si>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</si>
  <si>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</si>
  <si>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</si>
  <si>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</si>
  <si>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</si>
  <si>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</si>
  <si>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</si>
  <si>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</si>
  <si>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</si>
  <si>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</si>
  <si>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</si>
  <si>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</si>
  <si>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</si>
  <si>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</si>
  <si>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</si>
  <si>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</si>
  <si>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</si>
  <si>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</si>
  <si>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</si>
  <si>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</si>
  <si>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</si>
  <si>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</si>
  <si>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</si>
  <si>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</si>
  <si>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</si>
  <si>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</si>
  <si>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</si>
  <si>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</si>
  <si>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</si>
  <si>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</si>
  <si>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</si>
  <si>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</si>
  <si>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</si>
  <si>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</si>
  <si>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</si>
  <si>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</si>
  <si>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</si>
  <si>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</si>
  <si>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</si>
  <si>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</si>
  <si>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</si>
  <si>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</si>
  <si>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</si>
  <si>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</si>
  <si>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</si>
  <si>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</si>
  <si>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</si>
  <si>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</si>
  <si>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</si>
  <si>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</si>
  <si>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</si>
  <si>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</si>
  <si>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</si>
  <si>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</si>
  <si>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</si>
  <si>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</si>
  <si>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</si>
  <si>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</si>
  <si>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Emisivity</t>
  </si>
  <si>
    <t>Absorptivity</t>
  </si>
  <si>
    <t>Mass (kg)</t>
  </si>
  <si>
    <t>Specific Heat (J/(kg*K))</t>
  </si>
  <si>
    <t>Radiative area (m2)</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</si>
  <si>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</si>
  <si>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</si>
  <si>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</si>
  <si>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</si>
  <si>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</si>
  <si>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</si>
  <si>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</si>
  <si>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</si>
  <si>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</si>
  <si>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</si>
  <si>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</si>
  <si>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</si>
  <si>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</si>
  <si>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</si>
  <si>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</si>
  <si>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</si>
  <si>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</si>
  <si>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</si>
  <si>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</si>
  <si>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</si>
  <si>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</si>
  <si>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</si>
  <si>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</si>
  <si>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</si>
  <si>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</si>
  <si>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</si>
  <si>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</si>
  <si>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</si>
  <si>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Nodes properties:</t>
  </si>
  <si>
    <t xml:space="preserve"> Contiene propiedades de interés de los distintos nodos para el análisis, no tiene efectos sobre la ejecución del código por lo que puede ser modificada libremente.</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</si>
  <si>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</si>
  <si>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</si>
  <si>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</si>
  <si>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</si>
  <si>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</si>
  <si>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</si>
  <si>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</si>
  <si>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</si>
  <si>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</si>
  <si>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errores importantes en los resultados, fluctuaciones o incluso divergencia. En general, cuando se espera que existan cambios rápidos en la temperatura (ej; modo payload) se debe utilizar intervalos de tiempo más reducidos. </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</si>
  <si>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</si>
  <si>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</si>
  <si>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</si>
  <si>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</si>
  <si>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</si>
  <si>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</si>
  <si>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</si>
  <si>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</si>
  <si>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Algunos parametros a introducir aquí son: Area radiativa, area que está expuesta al exterior y disponible para radiar o absorber calor .Emisividad y absortancia, valores que representan las capacidades de absorción y emisión del material para espectro completo y infrarrojos respectivamente. Componentes del vector normal, dirreción del vector normal a la superficie externa, usado para calcular angulos de incidencia, debe estar normalizado (módulo 1). Radiación, booleano que determina si un nodo tiene superficie con la que radiar al entorno.</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</si>
  <si>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</si>
  <si>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</si>
  <si>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</si>
  <si>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</si>
  <si>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</si>
  <si>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 Ahora mismo los nodos con posibilidad de tener contacto entre sí se colocan en rojo.</t>
    </r>
  </si>
  <si>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</si>
  <si>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</si>
  <si>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</si>
  <si>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</si>
  <si>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</si>
  <si>
    <t>Frame 1, +X'</t>
  </si>
  <si>
    <t>Antena module'</t>
  </si>
  <si>
    <t>Solar Panel (Y)'</t>
  </si>
  <si>
    <t>Solar Panel (-Y)'</t>
  </si>
  <si>
    <t>Solar Panel (X)RBF'</t>
  </si>
  <si>
    <t>Solar Panel (-X)'</t>
  </si>
  <si>
    <t>Solar Panel (-Z(antenna))'</t>
  </si>
  <si>
    <t xml:space="preserve"> 'Solar Panel (-Y)'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</si>
</sst>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2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
      <sz val="10"/>
      <color theme="1"/>
      <name val="Calibri"/>
      <family val="2"/>
    </font>
    <font>
      <b/>
      <sz val="10"/>
      <color theme="1"/>
      <name val="Calibri"/>
      <family val="2"/>
    </font>
  </fonts>
  <fills count="27">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D9F1F3"/>
        <bgColor rgb="FFD9F1F3"/>
      </patternFill>
    </fill>
    <fill>
      <patternFill patternType="solid">
        <fgColor rgb="FFFDBA83"/>
        <bgColor rgb="FFFDBA83"/>
      </patternFill>
    </fill>
    <fill>
      <patternFill patternType="solid">
        <fgColor rgb="FF99D1D7"/>
        <bgColor rgb="FF99D1D7"/>
      </patternFill>
    </fill>
    <fill>
      <patternFill patternType="solid">
        <fgColor rgb="FFFFA7A7"/>
        <bgColor rgb="FFFFA7A7"/>
      </patternFill>
    </fill>
    <fill>
      <patternFill patternType="solid">
        <fgColor rgb="FFE2C5FF"/>
        <bgColor rgb="FFE2C5FF"/>
      </patternFill>
    </fill>
    <fill>
      <patternFill patternType="solid">
        <fgColor rgb="FFE3EBFD"/>
        <bgColor rgb="FFE3EBFD"/>
      </patternFill>
    </fill>
  </fills>
  <borders count="6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style="thin">
        <color rgb="FF000000"/>
      </top>
      <bottom/>
      <diagonal/>
    </border>
    <border>
      <left/>
      <right/>
      <top style="medium">
        <color rgb="FFCCCCCC"/>
      </top>
      <bottom/>
      <diagonal/>
    </border>
    <border>
      <left style="medium">
        <color rgb="FF000000"/>
      </left>
      <right/>
      <top style="medium">
        <color rgb="FFCCCCCC"/>
      </top>
      <bottom/>
      <diagonal/>
    </border>
    <border>
      <left style="medium">
        <color rgb="FF000000"/>
      </left>
      <right/>
      <top style="thin">
        <color rgb="FF000000"/>
      </top>
      <bottom/>
      <diagonal/>
    </border>
    <border>
      <left/>
      <right/>
      <top style="thin">
        <color rgb="FF000000"/>
      </top>
      <bottom/>
      <diagonal/>
    </border>
    <border>
      <left/>
      <right/>
      <top style="medium">
        <color rgb="FF000000"/>
      </top>
      <bottom/>
      <diagonal/>
    </border>
    <border>
      <left style="medium">
        <color rgb="FF000000"/>
      </left>
      <right/>
      <top/>
      <bottom/>
      <diagonal/>
    </border>
    <border>
      <left style="thin">
        <color rgb="FF000000"/>
      </left>
      <right/>
      <top style="medium">
        <color rgb="FF000000"/>
      </top>
      <bottom/>
      <diagonal/>
    </border>
  </borders>
  <cellStyleXfs count="1">
    <xf numFmtId="0" fontId="0" fillId="0" borderId="0"/>
  </cellStyleXfs>
  <cellXfs count="192">
    <xf numFmtId="0" fontId="0" fillId="0" borderId="0" xfId="0"/>
    <xf numFmtId="0" fontId="8" fillId="0" borderId="0" xfId="0" applyFont="1"/>
    <xf numFmtId="0" fontId="8" fillId="2" borderId="0" xfId="0" applyFont="1" applyFill="1"/>
    <xf numFmtId="0" fontId="9" fillId="2" borderId="0" xfId="0" applyFont="1" applyFill="1"/>
    <xf numFmtId="0" fontId="8" fillId="2" borderId="1" xfId="0" applyFont="1" applyFill="1" applyBorder="1"/>
    <xf numFmtId="49" fontId="8" fillId="0" borderId="0" xfId="0" applyNumberFormat="1" applyFont="1"/>
    <xf numFmtId="0" fontId="10" fillId="3" borderId="2" xfId="0" applyFont="1" applyFill="1" applyBorder="1"/>
    <xf numFmtId="0" fontId="9" fillId="0" borderId="0" xfId="0" applyFont="1"/>
    <xf numFmtId="0" fontId="8" fillId="4" borderId="1" xfId="0" applyFont="1" applyFill="1" applyBorder="1"/>
    <xf numFmtId="0" fontId="8" fillId="5" borderId="1" xfId="0" applyFont="1" applyFill="1" applyBorder="1"/>
    <xf numFmtId="0" fontId="8" fillId="6" borderId="1" xfId="0" applyFont="1" applyFill="1" applyBorder="1"/>
    <xf numFmtId="0" fontId="8" fillId="7" borderId="1" xfId="0" applyFont="1" applyFill="1" applyBorder="1"/>
    <xf numFmtId="0" fontId="8" fillId="8" borderId="0" xfId="0" applyFont="1" applyFill="1"/>
    <xf numFmtId="0" fontId="11" fillId="9" borderId="0" xfId="0" applyFont="1" applyFill="1" applyAlignment="1">
      <alignment horizontal="right"/>
    </xf>
    <xf numFmtId="0" fontId="12" fillId="9" borderId="0" xfId="0" applyFont="1" applyFill="1" applyAlignment="1">
      <alignment horizontal="right"/>
    </xf>
    <xf numFmtId="164" fontId="10" fillId="0" borderId="0" xfId="0" applyNumberFormat="1" applyFont="1"/>
    <xf numFmtId="0" fontId="10" fillId="0" borderId="0" xfId="0" applyFont="1"/>
    <xf numFmtId="0" fontId="8" fillId="0" borderId="0" xfId="0" quotePrefix="1" applyFont="1"/>
    <xf numFmtId="0" fontId="10" fillId="3" borderId="0" xfId="0" applyFont="1" applyFill="1"/>
    <xf numFmtId="0" fontId="8" fillId="0" borderId="0" xfId="0" applyFont="1" applyAlignment="1">
      <alignment horizontal="center"/>
    </xf>
    <xf numFmtId="165" fontId="8" fillId="0" borderId="0" xfId="0" applyNumberFormat="1" applyFont="1"/>
    <xf numFmtId="165" fontId="9" fillId="0" borderId="0" xfId="0" applyNumberFormat="1" applyFont="1"/>
    <xf numFmtId="0" fontId="14" fillId="0" borderId="3" xfId="0" applyFont="1" applyBorder="1"/>
    <xf numFmtId="0" fontId="9" fillId="0" borderId="4" xfId="0" applyFont="1" applyBorder="1"/>
    <xf numFmtId="0" fontId="9" fillId="0" borderId="5" xfId="0" applyFont="1" applyBorder="1"/>
    <xf numFmtId="0" fontId="9" fillId="11" borderId="0" xfId="0" applyFont="1" applyFill="1"/>
    <xf numFmtId="0" fontId="14" fillId="0" borderId="6" xfId="0" applyFont="1" applyBorder="1"/>
    <xf numFmtId="0" fontId="9" fillId="9" borderId="0" xfId="0" applyFont="1" applyFill="1"/>
    <xf numFmtId="0" fontId="14" fillId="0" borderId="6" xfId="0" applyFont="1" applyBorder="1" applyAlignment="1">
      <alignment horizontal="center"/>
    </xf>
    <xf numFmtId="0" fontId="14" fillId="0" borderId="1" xfId="0" applyFont="1" applyBorder="1" applyAlignment="1">
      <alignment horizontal="center"/>
    </xf>
    <xf numFmtId="0" fontId="14" fillId="0" borderId="9" xfId="0" applyFont="1" applyBorder="1" applyAlignment="1">
      <alignment horizontal="center"/>
    </xf>
    <xf numFmtId="0" fontId="9" fillId="12" borderId="0" xfId="0" applyFont="1" applyFill="1"/>
    <xf numFmtId="0" fontId="9" fillId="13" borderId="6" xfId="0" applyFont="1" applyFill="1" applyBorder="1" applyAlignment="1">
      <alignment horizontal="center"/>
    </xf>
    <xf numFmtId="2" fontId="9" fillId="13" borderId="1" xfId="0" applyNumberFormat="1" applyFont="1" applyFill="1" applyBorder="1" applyAlignment="1">
      <alignment horizontal="center"/>
    </xf>
    <xf numFmtId="0" fontId="9" fillId="13" borderId="9" xfId="0" applyFont="1" applyFill="1" applyBorder="1" applyAlignment="1">
      <alignment horizontal="center"/>
    </xf>
    <xf numFmtId="0" fontId="9" fillId="5" borderId="0" xfId="0" applyFont="1" applyFill="1"/>
    <xf numFmtId="0" fontId="9" fillId="0" borderId="6" xfId="0" applyFont="1" applyBorder="1" applyAlignment="1">
      <alignment horizontal="center"/>
    </xf>
    <xf numFmtId="0" fontId="9" fillId="0" borderId="1" xfId="0" applyFont="1" applyBorder="1" applyAlignment="1">
      <alignment horizontal="center"/>
    </xf>
    <xf numFmtId="0" fontId="9" fillId="0" borderId="9" xfId="0" applyFont="1" applyBorder="1" applyAlignment="1">
      <alignment horizontal="center"/>
    </xf>
    <xf numFmtId="0" fontId="14" fillId="14" borderId="10" xfId="0" applyFont="1" applyFill="1" applyBorder="1"/>
    <xf numFmtId="0" fontId="9" fillId="14" borderId="11" xfId="0" applyFont="1" applyFill="1" applyBorder="1" applyAlignment="1">
      <alignment horizontal="right"/>
    </xf>
    <xf numFmtId="0" fontId="9" fillId="0" borderId="12" xfId="0" applyFont="1" applyBorder="1" applyAlignment="1">
      <alignment horizontal="center"/>
    </xf>
    <xf numFmtId="0" fontId="9" fillId="0" borderId="13" xfId="0" applyFont="1" applyBorder="1" applyAlignment="1">
      <alignment horizontal="center"/>
    </xf>
    <xf numFmtId="0" fontId="9" fillId="0" borderId="14" xfId="0" applyFont="1" applyBorder="1" applyAlignment="1">
      <alignment horizontal="center"/>
    </xf>
    <xf numFmtId="0" fontId="9" fillId="9" borderId="15" xfId="0" applyFont="1" applyFill="1" applyBorder="1"/>
    <xf numFmtId="0" fontId="9" fillId="9" borderId="16" xfId="0" applyFont="1" applyFill="1" applyBorder="1" applyAlignment="1">
      <alignment horizontal="right"/>
    </xf>
    <xf numFmtId="0" fontId="9" fillId="0" borderId="6" xfId="0" applyFont="1" applyBorder="1"/>
    <xf numFmtId="0" fontId="9" fillId="0" borderId="9" xfId="0" applyFont="1" applyBorder="1" applyAlignment="1">
      <alignment horizontal="right"/>
    </xf>
    <xf numFmtId="166" fontId="9" fillId="0" borderId="9" xfId="0" applyNumberFormat="1" applyFont="1" applyBorder="1" applyAlignment="1">
      <alignment horizontal="right"/>
    </xf>
    <xf numFmtId="0" fontId="14" fillId="0" borderId="9" xfId="0" applyFont="1" applyBorder="1" applyAlignment="1">
      <alignment horizontal="right"/>
    </xf>
    <xf numFmtId="0" fontId="9" fillId="0" borderId="17" xfId="0" applyFont="1" applyBorder="1"/>
    <xf numFmtId="0" fontId="9" fillId="0" borderId="18" xfId="0" applyFont="1" applyBorder="1" applyAlignment="1">
      <alignment horizontal="right"/>
    </xf>
    <xf numFmtId="0" fontId="9" fillId="9" borderId="12" xfId="0" applyFont="1" applyFill="1" applyBorder="1"/>
    <xf numFmtId="167" fontId="9" fillId="9" borderId="14" xfId="0" applyNumberFormat="1" applyFont="1" applyFill="1" applyBorder="1" applyAlignment="1">
      <alignment horizontal="right"/>
    </xf>
    <xf numFmtId="0" fontId="9" fillId="12" borderId="15" xfId="0" applyFont="1" applyFill="1" applyBorder="1"/>
    <xf numFmtId="0" fontId="9" fillId="12" borderId="16" xfId="0" applyFont="1" applyFill="1" applyBorder="1" applyAlignment="1">
      <alignment horizontal="right"/>
    </xf>
    <xf numFmtId="0" fontId="9" fillId="12" borderId="12" xfId="0" applyFont="1" applyFill="1" applyBorder="1"/>
    <xf numFmtId="2" fontId="9" fillId="12" borderId="14" xfId="0" applyNumberFormat="1" applyFont="1" applyFill="1" applyBorder="1" applyAlignment="1">
      <alignment horizontal="right"/>
    </xf>
    <xf numFmtId="167" fontId="9" fillId="0" borderId="18" xfId="0" applyNumberFormat="1" applyFont="1" applyBorder="1" applyAlignment="1">
      <alignment horizontal="right"/>
    </xf>
    <xf numFmtId="0" fontId="14" fillId="14" borderId="19" xfId="0" applyFont="1" applyFill="1" applyBorder="1"/>
    <xf numFmtId="0" fontId="9" fillId="14" borderId="20" xfId="0" applyFont="1" applyFill="1" applyBorder="1" applyAlignment="1">
      <alignment horizontal="right"/>
    </xf>
    <xf numFmtId="0" fontId="9" fillId="11" borderId="21" xfId="0" applyFont="1" applyFill="1" applyBorder="1"/>
    <xf numFmtId="0" fontId="9" fillId="11" borderId="22" xfId="0" applyFont="1" applyFill="1" applyBorder="1" applyAlignment="1">
      <alignment horizontal="right"/>
    </xf>
    <xf numFmtId="0" fontId="9" fillId="5" borderId="21" xfId="0" applyFont="1" applyFill="1" applyBorder="1"/>
    <xf numFmtId="0" fontId="9" fillId="5" borderId="22" xfId="0" applyFont="1" applyFill="1" applyBorder="1" applyAlignment="1">
      <alignment horizontal="right"/>
    </xf>
    <xf numFmtId="0" fontId="8" fillId="11" borderId="0" xfId="0" applyFont="1" applyFill="1"/>
    <xf numFmtId="0" fontId="8" fillId="9" borderId="0" xfId="0" applyFont="1" applyFill="1"/>
    <xf numFmtId="0" fontId="8" fillId="9" borderId="0" xfId="0" quotePrefix="1" applyFont="1" applyFill="1"/>
    <xf numFmtId="0" fontId="8" fillId="11" borderId="0" xfId="0" quotePrefix="1" applyFont="1" applyFill="1"/>
    <xf numFmtId="49" fontId="8" fillId="11" borderId="0" xfId="0" applyNumberFormat="1" applyFont="1" applyFill="1"/>
    <xf numFmtId="49" fontId="8" fillId="9" borderId="0" xfId="0" applyNumberFormat="1" applyFont="1" applyFill="1"/>
    <xf numFmtId="164" fontId="8" fillId="11" borderId="0" xfId="0" applyNumberFormat="1" applyFont="1" applyFill="1"/>
    <xf numFmtId="0" fontId="8" fillId="3" borderId="2" xfId="0" applyFont="1" applyFill="1" applyBorder="1"/>
    <xf numFmtId="0" fontId="8" fillId="3" borderId="0" xfId="0" applyFont="1" applyFill="1"/>
    <xf numFmtId="0" fontId="7" fillId="0" borderId="0" xfId="0" applyFont="1"/>
    <xf numFmtId="0" fontId="7" fillId="0" borderId="0" xfId="0" applyFont="1" applyAlignment="1">
      <alignment horizontal="center"/>
    </xf>
    <xf numFmtId="0" fontId="0" fillId="0" borderId="0" xfId="0" applyAlignment="1">
      <alignment horizontal="right"/>
    </xf>
    <xf numFmtId="0" fontId="7"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0" fillId="0" borderId="33" xfId="0" applyBorder="1" applyAlignment="1">
      <alignment horizontal="center"/>
    </xf>
    <xf numFmtId="0" fontId="7" fillId="15" borderId="32" xfId="0" applyFont="1" applyFill="1" applyBorder="1" applyAlignment="1">
      <alignment horizontal="center"/>
    </xf>
    <xf numFmtId="0" fontId="0" fillId="0" borderId="39" xfId="0" applyBorder="1" applyAlignment="1">
      <alignment horizontal="center"/>
    </xf>
    <xf numFmtId="0" fontId="0" fillId="0" borderId="2" xfId="0" applyBorder="1"/>
    <xf numFmtId="0" fontId="0" fillId="16" borderId="36" xfId="0" applyFill="1" applyBorder="1" applyAlignment="1">
      <alignment horizontal="center"/>
    </xf>
    <xf numFmtId="0" fontId="0" fillId="16" borderId="33" xfId="0" applyFill="1" applyBorder="1" applyAlignment="1">
      <alignment horizontal="center"/>
    </xf>
    <xf numFmtId="0" fontId="0" fillId="16" borderId="39" xfId="0" applyFill="1" applyBorder="1" applyAlignment="1">
      <alignment horizontal="center"/>
    </xf>
    <xf numFmtId="0" fontId="0" fillId="16" borderId="37" xfId="0" applyFill="1" applyBorder="1" applyAlignment="1">
      <alignment horizontal="center"/>
    </xf>
    <xf numFmtId="0" fontId="0" fillId="0" borderId="23" xfId="0" applyBorder="1"/>
    <xf numFmtId="0" fontId="0" fillId="0" borderId="29" xfId="0" applyBorder="1"/>
    <xf numFmtId="0" fontId="0" fillId="0" borderId="43" xfId="0" applyBorder="1"/>
    <xf numFmtId="0" fontId="0" fillId="0" borderId="44" xfId="0" applyBorder="1"/>
    <xf numFmtId="0" fontId="0" fillId="0" borderId="45" xfId="0" applyBorder="1"/>
    <xf numFmtId="0" fontId="0" fillId="0" borderId="46" xfId="0" applyBorder="1"/>
    <xf numFmtId="0" fontId="0" fillId="0" borderId="48" xfId="0" applyBorder="1"/>
    <xf numFmtId="0" fontId="0" fillId="0" borderId="33" xfId="0" applyBorder="1"/>
    <xf numFmtId="0" fontId="0" fillId="0" borderId="34" xfId="0" applyBorder="1"/>
    <xf numFmtId="0" fontId="0" fillId="17" borderId="36" xfId="0" applyFill="1" applyBorder="1"/>
    <xf numFmtId="0" fontId="0" fillId="17" borderId="37" xfId="0" applyFill="1" applyBorder="1"/>
    <xf numFmtId="0" fontId="0" fillId="0" borderId="50" xfId="0" applyBorder="1" applyAlignment="1">
      <alignment horizontal="center"/>
    </xf>
    <xf numFmtId="0" fontId="0" fillId="0" borderId="51" xfId="0" applyBorder="1" applyAlignment="1">
      <alignment horizontal="center"/>
    </xf>
    <xf numFmtId="0" fontId="7" fillId="0" borderId="51" xfId="0" applyFont="1" applyBorder="1" applyAlignment="1">
      <alignment horizontal="center"/>
    </xf>
    <xf numFmtId="0" fontId="0" fillId="0" borderId="52" xfId="0" applyBorder="1" applyAlignment="1">
      <alignment horizontal="center"/>
    </xf>
    <xf numFmtId="0" fontId="6" fillId="0" borderId="2" xfId="0" applyFont="1" applyBorder="1"/>
    <xf numFmtId="0" fontId="7" fillId="0" borderId="42" xfId="0" applyFont="1" applyBorder="1" applyAlignment="1">
      <alignment horizontal="center"/>
    </xf>
    <xf numFmtId="0" fontId="7" fillId="0" borderId="41" xfId="0" applyFont="1" applyBorder="1" applyAlignment="1">
      <alignment horizontal="center"/>
    </xf>
    <xf numFmtId="0" fontId="0" fillId="0" borderId="41" xfId="0" applyBorder="1" applyAlignment="1">
      <alignment horizontal="center"/>
    </xf>
    <xf numFmtId="0" fontId="0" fillId="0" borderId="54"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3" xfId="0" applyBorder="1" applyAlignment="1">
      <alignment horizontal="center"/>
    </xf>
    <xf numFmtId="0" fontId="0" fillId="0" borderId="27" xfId="0" applyBorder="1" applyAlignment="1">
      <alignment horizontal="center"/>
    </xf>
    <xf numFmtId="0" fontId="0" fillId="0" borderId="43" xfId="0" applyBorder="1" applyAlignment="1">
      <alignment horizontal="center"/>
    </xf>
    <xf numFmtId="0" fontId="0" fillId="0" borderId="28" xfId="0" applyBorder="1" applyAlignment="1">
      <alignment horizontal="center"/>
    </xf>
    <xf numFmtId="0" fontId="0" fillId="0" borderId="44" xfId="0" applyBorder="1" applyAlignment="1">
      <alignment horizontal="center"/>
    </xf>
    <xf numFmtId="0" fontId="0" fillId="0" borderId="56" xfId="0" applyBorder="1" applyAlignment="1">
      <alignment horizontal="center"/>
    </xf>
    <xf numFmtId="0" fontId="0" fillId="0" borderId="57" xfId="0" applyBorder="1" applyAlignment="1">
      <alignment horizontal="center"/>
    </xf>
    <xf numFmtId="0" fontId="0" fillId="16" borderId="40" xfId="0" applyFill="1" applyBorder="1"/>
    <xf numFmtId="0" fontId="0" fillId="16" borderId="55" xfId="0" applyFill="1" applyBorder="1"/>
    <xf numFmtId="0" fontId="5" fillId="0" borderId="33" xfId="0" applyFont="1" applyBorder="1" applyAlignment="1">
      <alignment horizontal="center"/>
    </xf>
    <xf numFmtId="0" fontId="5" fillId="0" borderId="30" xfId="0" applyFont="1" applyBorder="1" applyAlignment="1">
      <alignment horizontal="center"/>
    </xf>
    <xf numFmtId="0" fontId="5" fillId="0" borderId="38" xfId="0" applyFont="1" applyBorder="1" applyAlignment="1">
      <alignment horizontal="center"/>
    </xf>
    <xf numFmtId="0" fontId="4" fillId="0" borderId="0" xfId="0" applyFont="1"/>
    <xf numFmtId="0" fontId="0" fillId="0" borderId="28" xfId="0" applyBorder="1"/>
    <xf numFmtId="0" fontId="3" fillId="0" borderId="0" xfId="0" applyFont="1"/>
    <xf numFmtId="0" fontId="3" fillId="0" borderId="0" xfId="0" applyFont="1" applyAlignment="1">
      <alignment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7" fillId="0" borderId="0" xfId="0" applyFont="1" applyAlignment="1">
      <alignment wrapText="1"/>
    </xf>
    <xf numFmtId="0" fontId="14" fillId="17" borderId="24" xfId="0" applyFont="1" applyFill="1" applyBorder="1" applyAlignment="1">
      <alignment vertical="center" wrapText="1"/>
    </xf>
    <xf numFmtId="0" fontId="14" fillId="17" borderId="31" xfId="0" applyFont="1" applyFill="1" applyBorder="1" applyAlignment="1">
      <alignment vertical="center" wrapText="1"/>
    </xf>
    <xf numFmtId="0" fontId="14" fillId="17" borderId="30" xfId="0" applyFont="1" applyFill="1" applyBorder="1" applyAlignment="1">
      <alignment vertical="center" wrapText="1"/>
    </xf>
    <xf numFmtId="0" fontId="14" fillId="17" borderId="47" xfId="0" applyFont="1" applyFill="1" applyBorder="1" applyAlignment="1">
      <alignment vertical="center" wrapText="1"/>
    </xf>
    <xf numFmtId="0" fontId="14" fillId="20" borderId="25" xfId="0" applyFont="1" applyFill="1" applyBorder="1" applyAlignment="1">
      <alignment horizontal="center" vertical="center" wrapText="1"/>
    </xf>
    <xf numFmtId="0" fontId="14" fillId="20" borderId="26" xfId="0" applyFont="1" applyFill="1" applyBorder="1" applyAlignment="1">
      <alignment horizontal="center" vertical="center" wrapText="1"/>
    </xf>
    <xf numFmtId="0" fontId="14" fillId="20" borderId="53" xfId="0" applyFont="1" applyFill="1" applyBorder="1" applyAlignment="1">
      <alignment horizontal="center" vertical="center" wrapText="1"/>
    </xf>
    <xf numFmtId="0" fontId="14" fillId="19" borderId="25" xfId="0" applyFont="1" applyFill="1" applyBorder="1" applyAlignment="1">
      <alignment horizontal="center" vertical="center" wrapText="1"/>
    </xf>
    <xf numFmtId="0" fontId="14" fillId="19" borderId="26" xfId="0" applyFont="1" applyFill="1" applyBorder="1" applyAlignment="1">
      <alignment horizontal="center" vertical="center" wrapText="1"/>
    </xf>
    <xf numFmtId="0" fontId="14" fillId="19" borderId="53" xfId="0" applyFont="1" applyFill="1" applyBorder="1" applyAlignment="1">
      <alignment horizontal="center" vertical="center" wrapText="1"/>
    </xf>
    <xf numFmtId="0" fontId="14" fillId="18" borderId="24" xfId="0" applyFont="1" applyFill="1" applyBorder="1"/>
    <xf numFmtId="0" fontId="14" fillId="0" borderId="0" xfId="0" applyFont="1"/>
    <xf numFmtId="0" fontId="14" fillId="18" borderId="24" xfId="0" applyFont="1" applyFill="1" applyBorder="1" applyAlignment="1">
      <alignment horizontal="center" vertical="center"/>
    </xf>
    <xf numFmtId="0" fontId="14" fillId="15" borderId="35" xfId="0" applyFont="1" applyFill="1" applyBorder="1" applyAlignment="1">
      <alignment horizontal="center" vertical="center"/>
    </xf>
    <xf numFmtId="0" fontId="14" fillId="15" borderId="36" xfId="0" applyFont="1" applyFill="1" applyBorder="1" applyAlignment="1">
      <alignment horizontal="center" vertical="center"/>
    </xf>
    <xf numFmtId="0" fontId="14" fillId="15" borderId="49" xfId="0" applyFont="1" applyFill="1" applyBorder="1" applyAlignment="1">
      <alignment horizontal="center" vertical="center"/>
    </xf>
    <xf numFmtId="0" fontId="16" fillId="0" borderId="0" xfId="0" applyFont="1"/>
    <xf numFmtId="0" fontId="2" fillId="0" borderId="0" xfId="0" applyFont="1" applyAlignment="1">
      <alignment wrapText="1"/>
    </xf>
    <xf numFmtId="0" fontId="0" fillId="9" borderId="0" xfId="0" applyFill="1"/>
    <xf numFmtId="0" fontId="8" fillId="26" borderId="2" xfId="0" applyFont="1" applyFill="1" applyBorder="1"/>
    <xf numFmtId="0" fontId="8" fillId="26" borderId="58" xfId="0" applyFont="1" applyFill="1" applyBorder="1"/>
    <xf numFmtId="0" fontId="8" fillId="26" borderId="7" xfId="0" applyFont="1" applyFill="1" applyBorder="1"/>
    <xf numFmtId="0" fontId="12" fillId="26" borderId="7" xfId="0" quotePrefix="1" applyFont="1" applyFill="1" applyBorder="1" applyAlignment="1">
      <alignment horizontal="left"/>
    </xf>
    <xf numFmtId="0" fontId="8" fillId="26" borderId="7" xfId="0" quotePrefix="1" applyFont="1" applyFill="1" applyBorder="1"/>
    <xf numFmtId="0" fontId="8" fillId="26" borderId="7" xfId="0" quotePrefix="1" applyFont="1" applyFill="1" applyBorder="1" applyAlignment="1">
      <alignment wrapText="1"/>
    </xf>
    <xf numFmtId="0" fontId="20" fillId="0" borderId="1" xfId="0" applyFont="1" applyBorder="1" applyAlignment="1">
      <alignment horizontal="center"/>
    </xf>
    <xf numFmtId="0" fontId="19" fillId="0" borderId="1" xfId="0" applyFont="1" applyBorder="1" applyAlignment="1">
      <alignment horizontal="center"/>
    </xf>
    <xf numFmtId="165" fontId="13" fillId="4" borderId="59" xfId="0" applyNumberFormat="1" applyFont="1" applyFill="1" applyBorder="1" applyAlignment="1">
      <alignment horizontal="center"/>
    </xf>
    <xf numFmtId="0" fontId="8" fillId="26" borderId="60" xfId="0" applyFont="1" applyFill="1" applyBorder="1"/>
    <xf numFmtId="0" fontId="12" fillId="26" borderId="59" xfId="0" applyFont="1" applyFill="1" applyBorder="1" applyAlignment="1">
      <alignment horizontal="center"/>
    </xf>
    <xf numFmtId="165" fontId="8" fillId="4" borderId="59" xfId="0" applyNumberFormat="1" applyFont="1" applyFill="1" applyBorder="1" applyAlignment="1">
      <alignment horizontal="center"/>
    </xf>
    <xf numFmtId="165" fontId="8" fillId="4" borderId="61" xfId="0" applyNumberFormat="1" applyFont="1" applyFill="1" applyBorder="1" applyAlignment="1">
      <alignment horizontal="center"/>
    </xf>
    <xf numFmtId="0" fontId="8" fillId="26" borderId="59" xfId="0" applyFont="1" applyFill="1" applyBorder="1"/>
    <xf numFmtId="0" fontId="8" fillId="10" borderId="62" xfId="0" applyFont="1" applyFill="1" applyBorder="1" applyAlignment="1">
      <alignment horizontal="center" wrapText="1"/>
    </xf>
    <xf numFmtId="0" fontId="8" fillId="10" borderId="63" xfId="0" applyFont="1" applyFill="1" applyBorder="1" applyAlignment="1">
      <alignment horizontal="center" wrapText="1"/>
    </xf>
    <xf numFmtId="0" fontId="8" fillId="21" borderId="63" xfId="0" applyFont="1" applyFill="1" applyBorder="1" applyAlignment="1">
      <alignment horizontal="center" wrapText="1"/>
    </xf>
    <xf numFmtId="0" fontId="8" fillId="22" borderId="63" xfId="0" applyFont="1" applyFill="1" applyBorder="1" applyAlignment="1">
      <alignment horizontal="center" wrapText="1"/>
    </xf>
    <xf numFmtId="0" fontId="8" fillId="22" borderId="21" xfId="0" applyFont="1" applyFill="1" applyBorder="1" applyAlignment="1">
      <alignment horizontal="center" wrapText="1"/>
    </xf>
    <xf numFmtId="0" fontId="8" fillId="23" borderId="63" xfId="0" applyFont="1" applyFill="1" applyBorder="1" applyAlignment="1">
      <alignment horizontal="center" wrapText="1"/>
    </xf>
    <xf numFmtId="0" fontId="0" fillId="9" borderId="64" xfId="0" applyFill="1" applyBorder="1"/>
    <xf numFmtId="0" fontId="0" fillId="9" borderId="65" xfId="0" applyFill="1" applyBorder="1"/>
    <xf numFmtId="0" fontId="8" fillId="10" borderId="66" xfId="0" applyFont="1" applyFill="1" applyBorder="1" applyAlignment="1">
      <alignment horizontal="center" wrapText="1"/>
    </xf>
    <xf numFmtId="0" fontId="8" fillId="10" borderId="21" xfId="0" applyFont="1" applyFill="1" applyBorder="1" applyAlignment="1">
      <alignment horizontal="center" wrapText="1"/>
    </xf>
    <xf numFmtId="0" fontId="8" fillId="21" borderId="21" xfId="0" applyFont="1" applyFill="1" applyBorder="1" applyAlignment="1">
      <alignment horizontal="center" wrapText="1"/>
    </xf>
    <xf numFmtId="0" fontId="8" fillId="23" borderId="21" xfId="0" applyFont="1" applyFill="1" applyBorder="1" applyAlignment="1">
      <alignment horizontal="center" wrapText="1"/>
    </xf>
    <xf numFmtId="0" fontId="0" fillId="9" borderId="67" xfId="0" applyFill="1" applyBorder="1"/>
    <xf numFmtId="0" fontId="8" fillId="21" borderId="66" xfId="0" applyFont="1" applyFill="1" applyBorder="1" applyAlignment="1">
      <alignment horizontal="center" wrapText="1"/>
    </xf>
    <xf numFmtId="0" fontId="8" fillId="24" borderId="21" xfId="0" applyFont="1" applyFill="1" applyBorder="1" applyAlignment="1">
      <alignment horizontal="center" wrapText="1"/>
    </xf>
    <xf numFmtId="0" fontId="12" fillId="9" borderId="21" xfId="0" applyFont="1" applyFill="1" applyBorder="1" applyAlignment="1">
      <alignment horizontal="center" wrapText="1"/>
    </xf>
    <xf numFmtId="0" fontId="8" fillId="22" borderId="66" xfId="0" applyFont="1" applyFill="1" applyBorder="1" applyAlignment="1">
      <alignment horizontal="center" wrapText="1"/>
    </xf>
    <xf numFmtId="0" fontId="8" fillId="25" borderId="21" xfId="0" applyFont="1" applyFill="1" applyBorder="1" applyAlignment="1">
      <alignment horizontal="center" wrapText="1"/>
    </xf>
    <xf numFmtId="0" fontId="8" fillId="9" borderId="21" xfId="0" applyFont="1" applyFill="1" applyBorder="1" applyAlignment="1">
      <alignment horizontal="center" wrapText="1"/>
    </xf>
    <xf numFmtId="0" fontId="12" fillId="26" borderId="59" xfId="0" applyFont="1" applyFill="1" applyBorder="1" applyAlignment="1">
      <alignment horizontal="left"/>
    </xf>
    <xf numFmtId="0" fontId="8" fillId="23" borderId="66" xfId="0" applyFont="1" applyFill="1" applyBorder="1" applyAlignment="1">
      <alignment horizontal="center" wrapText="1"/>
    </xf>
    <xf numFmtId="0" fontId="8" fillId="26" borderId="59" xfId="0" applyFont="1" applyFill="1" applyBorder="1" applyAlignment="1">
      <alignment wrapText="1"/>
    </xf>
    <xf numFmtId="0" fontId="0" fillId="9" borderId="68" xfId="0" applyFill="1" applyBorder="1"/>
    <xf numFmtId="0" fontId="0" fillId="9" borderId="66" xfId="0" applyFill="1" applyBorder="1"/>
    <xf numFmtId="0" fontId="0" fillId="9" borderId="60" xfId="0" applyFill="1" applyBorder="1"/>
    <xf numFmtId="165" fontId="8" fillId="4" borderId="7" xfId="0" applyNumberFormat="1" applyFont="1" applyFill="1" applyBorder="1" applyAlignment="1">
      <alignment horizontal="center"/>
    </xf>
    <xf numFmtId="0" fontId="14" fillId="0" borderId="7" xfId="0" applyFont="1" applyBorder="1" applyAlignment="1">
      <alignment horizontal="center"/>
    </xf>
    <xf numFmtId="0" fontId="15" fillId="0" borderId="8" xfId="0" applyFont="1" applyBorder="1"/>
    <xf numFmtId="0" fontId="1" fillId="0" borderId="31" xfId="0" applyFont="1" applyBorder="1" applyAlignment="1">
      <alignment horizontal="center"/>
    </xf>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45</xdr:row>
      <xdr:rowOff>161925</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0" y="9029700"/>
          <a:ext cx="7343775" cy="5124450"/>
        </a:xfrm>
        <a:prstGeom prst="rect">
          <a:avLst/>
        </a:prstGeom>
        <a:noFill/>
      </xdr:spPr>
    </xdr:pic>
    <xdr:clientData fLocksWithSheet="0"/>
  </xdr:oneCellAnchor>
  <xdr:oneCellAnchor>
    <xdr:from>
      <xdr:col>13</xdr:col>
      <xdr:colOff>238125</xdr:colOff>
      <xdr:row>46</xdr:row>
      <xdr:rowOff>0</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429500" y="9067800"/>
          <a:ext cx="6753225" cy="5038725"/>
        </a:xfrm>
        <a:prstGeom prst="rect">
          <a:avLst/>
        </a:prstGeom>
        <a:noFill/>
      </xdr:spPr>
    </xdr:pic>
    <xdr:clientData fLocksWithSheet="0"/>
  </xdr:oneCellAnchor>
  <xdr:oneCellAnchor>
    <xdr:from>
      <xdr:col>26</xdr:col>
      <xdr:colOff>19050</xdr:colOff>
      <xdr:row>45</xdr:row>
      <xdr:rowOff>171450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268450" y="90392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zoomScaleNormal="100" workbookViewId="0">
      <selection activeCell="E17" sqref="E17"/>
    </sheetView>
  </sheetViews>
  <sheetFormatPr baseColWidth="10" defaultRowHeight="15"/>
  <cols>
    <col min="2" max="2" width="153.85546875" customWidth="1"/>
  </cols>
  <sheetData>
    <row r="2" spans="2:2" ht="23.25">
      <c r="B2" s="129" t="s">
        <v>236</v>
      </c>
    </row>
    <row r="4" spans="2:2" ht="30">
      <c r="B4" s="125" t="s">
        <v>244</v>
      </c>
    </row>
    <row r="5" spans="2:2">
      <c r="B5" s="126"/>
    </row>
    <row r="6" spans="2:2" ht="60">
      <c r="B6" s="125" t="s">
        <v>275</v>
      </c>
    </row>
    <row r="7" spans="2:2">
      <c r="B7" s="126"/>
    </row>
    <row r="8" spans="2:2" ht="15.75">
      <c r="B8" s="128" t="s">
        <v>248</v>
      </c>
    </row>
    <row r="9" spans="2:2">
      <c r="B9" s="126"/>
    </row>
    <row r="10" spans="2:2" ht="45">
      <c r="B10" s="125" t="s">
        <v>245</v>
      </c>
    </row>
    <row r="11" spans="2:2" ht="30">
      <c r="B11" s="125" t="s">
        <v>273</v>
      </c>
    </row>
    <row r="12" spans="2:2">
      <c r="B12" s="126"/>
    </row>
    <row r="13" spans="2:2" ht="15.75">
      <c r="B13" s="128" t="s">
        <v>243</v>
      </c>
    </row>
    <row r="14" spans="2:2">
      <c r="B14" s="126"/>
    </row>
    <row r="15" spans="2:2" ht="45">
      <c r="B15" s="125" t="s">
        <v>262</v>
      </c>
    </row>
    <row r="17" spans="2:2">
      <c r="B17" s="127" t="s">
        <v>246</v>
      </c>
    </row>
    <row r="19" spans="2:2">
      <c r="B19" s="126" t="s">
        <v>247</v>
      </c>
    </row>
    <row r="20" spans="2:2">
      <c r="B20" s="126"/>
    </row>
    <row r="21" spans="2:2">
      <c r="B21" s="127" t="s">
        <v>249</v>
      </c>
    </row>
    <row r="22" spans="2:2">
      <c r="B22" s="126"/>
    </row>
    <row r="23" spans="2:2" ht="30">
      <c r="B23" s="125" t="s">
        <v>250</v>
      </c>
    </row>
    <row r="24" spans="2:2">
      <c r="B24" s="126"/>
    </row>
    <row r="25" spans="2:2">
      <c r="B25" s="127" t="s">
        <v>251</v>
      </c>
    </row>
    <row r="26" spans="2:2">
      <c r="B26" s="126"/>
    </row>
    <row r="27" spans="2:2">
      <c r="B27" s="125" t="s">
        <v>252</v>
      </c>
    </row>
    <row r="28" spans="2:2">
      <c r="B28" s="126"/>
    </row>
    <row r="29" spans="2:2" ht="30">
      <c r="B29" s="125" t="s">
        <v>276</v>
      </c>
    </row>
    <row r="31" spans="2:2" ht="30">
      <c r="B31" s="125" t="s">
        <v>265</v>
      </c>
    </row>
    <row r="33" spans="2:2">
      <c r="B33" s="124" t="s">
        <v>255</v>
      </c>
    </row>
    <row r="35" spans="2:2">
      <c r="B35" s="124" t="s">
        <v>256</v>
      </c>
    </row>
    <row r="37" spans="2:2" ht="60">
      <c r="B37" s="125" t="s">
        <v>257</v>
      </c>
    </row>
    <row r="39" spans="2:2">
      <c r="B39" s="141" t="s">
        <v>258</v>
      </c>
    </row>
    <row r="41" spans="2:2">
      <c r="B41" s="124" t="s">
        <v>259</v>
      </c>
    </row>
    <row r="43" spans="2:2" ht="60">
      <c r="B43" s="125" t="s">
        <v>260</v>
      </c>
    </row>
    <row r="45" spans="2:2" ht="90">
      <c r="B45" s="125" t="s">
        <v>261</v>
      </c>
    </row>
    <row r="47" spans="2:2">
      <c r="B47" s="141" t="s">
        <v>263</v>
      </c>
    </row>
    <row r="49" spans="2:2" ht="52.5" customHeight="1">
      <c r="B49" s="125" t="s">
        <v>264</v>
      </c>
    </row>
    <row r="51" spans="2:2" ht="60">
      <c r="B51" s="125" t="s">
        <v>266</v>
      </c>
    </row>
    <row r="53" spans="2:2">
      <c r="B53" s="141" t="s">
        <v>267</v>
      </c>
    </row>
    <row r="55" spans="2:2" ht="105">
      <c r="B55" s="125" t="s">
        <v>269</v>
      </c>
    </row>
    <row r="57" spans="2:2">
      <c r="B57" s="141" t="s">
        <v>268</v>
      </c>
    </row>
    <row r="59" spans="2:2" ht="45">
      <c r="B59" s="125" t="s">
        <v>270</v>
      </c>
    </row>
    <row r="61" spans="2:2">
      <c r="B61" s="124" t="s">
        <v>271</v>
      </c>
    </row>
    <row r="63" spans="2:2" ht="45">
      <c r="B63" s="125" t="s">
        <v>272</v>
      </c>
    </row>
    <row r="65" spans="2:2" ht="15.75">
      <c r="B65" s="146" t="s">
        <v>274</v>
      </c>
    </row>
    <row r="67" spans="2:2" ht="75">
      <c r="B67" s="147" t="s">
        <v>277</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C29" activePane="bottomRight" state="frozen"/>
      <selection pane="topRight" activeCell="C1" sqref="C1"/>
      <selection pane="bottomLeft" activeCell="A5" sqref="A5"/>
      <selection pane="bottomRight" activeCell="I49" sqref="I49"/>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69" t="s">
        <v>25</v>
      </c>
      <c r="B41" s="65" t="s">
        <v>26</v>
      </c>
      <c r="C41" s="65">
        <v>4.0648000000000004E-2</v>
      </c>
      <c r="D41" s="72">
        <v>896</v>
      </c>
      <c r="E41" s="65">
        <v>5.1999999999999998E-3</v>
      </c>
      <c r="F41" s="65" t="s">
        <v>30</v>
      </c>
      <c r="G41" s="65">
        <v>0.8</v>
      </c>
      <c r="H41" s="65">
        <v>0.8</v>
      </c>
      <c r="I41" s="65" t="s">
        <v>31</v>
      </c>
      <c r="J41" s="65">
        <v>0</v>
      </c>
      <c r="K41" s="65">
        <v>167</v>
      </c>
      <c r="L41" s="65" t="s">
        <v>29</v>
      </c>
      <c r="M41" s="19"/>
      <c r="N41" s="19"/>
      <c r="O41" s="19"/>
      <c r="P41" s="19"/>
    </row>
    <row r="42" spans="1:17">
      <c r="A42" s="70" t="s">
        <v>32</v>
      </c>
      <c r="B42" s="66" t="s">
        <v>33</v>
      </c>
      <c r="C42" s="66">
        <v>4.0648000000000004E-2</v>
      </c>
      <c r="D42" s="72">
        <v>896</v>
      </c>
      <c r="E42" s="66">
        <v>5.1999999999999998E-3</v>
      </c>
      <c r="F42" s="66" t="s">
        <v>34</v>
      </c>
      <c r="G42" s="66">
        <v>0.8</v>
      </c>
      <c r="H42" s="66">
        <v>0.8</v>
      </c>
      <c r="I42" s="66" t="s">
        <v>35</v>
      </c>
      <c r="J42" s="66">
        <v>0</v>
      </c>
      <c r="K42" s="66">
        <v>167</v>
      </c>
      <c r="L42" s="66" t="s">
        <v>29</v>
      </c>
      <c r="M42" s="19"/>
      <c r="N42" s="19"/>
      <c r="O42" s="19"/>
      <c r="P42" s="19"/>
    </row>
    <row r="43" spans="1:17">
      <c r="A43" s="69" t="s">
        <v>36</v>
      </c>
      <c r="B43" s="65" t="s">
        <v>37</v>
      </c>
      <c r="C43" s="65">
        <v>7.2910000000000006E-3</v>
      </c>
      <c r="D43" s="72">
        <v>896</v>
      </c>
      <c r="E43" s="65">
        <v>0</v>
      </c>
      <c r="F43" s="65" t="s">
        <v>39</v>
      </c>
      <c r="G43" s="65">
        <v>0.8</v>
      </c>
      <c r="H43" s="65">
        <v>0.8</v>
      </c>
      <c r="I43" s="65" t="s">
        <v>40</v>
      </c>
      <c r="J43" s="65">
        <v>0</v>
      </c>
      <c r="K43" s="65">
        <v>167</v>
      </c>
      <c r="L43" s="65" t="s">
        <v>29</v>
      </c>
      <c r="M43" s="19"/>
      <c r="N43" s="19"/>
      <c r="O43" s="19"/>
      <c r="P43" s="19"/>
    </row>
    <row r="44" spans="1:17">
      <c r="A44" s="70" t="s">
        <v>41</v>
      </c>
      <c r="B44" s="66" t="s">
        <v>42</v>
      </c>
      <c r="C44" s="66">
        <v>7.3419999999999996E-3</v>
      </c>
      <c r="D44" s="72">
        <v>896</v>
      </c>
      <c r="E44" s="66">
        <v>0</v>
      </c>
      <c r="F44" s="66" t="s">
        <v>44</v>
      </c>
      <c r="G44" s="66">
        <v>0.8</v>
      </c>
      <c r="H44" s="66">
        <v>0.8</v>
      </c>
      <c r="I44" s="66" t="s">
        <v>45</v>
      </c>
      <c r="J44" s="66">
        <v>0</v>
      </c>
      <c r="K44" s="66">
        <v>167</v>
      </c>
      <c r="L44" s="66" t="s">
        <v>29</v>
      </c>
      <c r="M44" s="19"/>
      <c r="N44" s="19"/>
      <c r="O44" s="19"/>
      <c r="P44" s="19"/>
    </row>
    <row r="45" spans="1:17">
      <c r="A45" s="69" t="s">
        <v>46</v>
      </c>
      <c r="B45" s="65" t="s">
        <v>47</v>
      </c>
      <c r="C45" s="65">
        <v>6.4250000000000002E-3</v>
      </c>
      <c r="D45" s="72">
        <v>896</v>
      </c>
      <c r="E45" s="65">
        <v>0</v>
      </c>
      <c r="F45" s="65" t="s">
        <v>49</v>
      </c>
      <c r="G45" s="65">
        <v>0.8</v>
      </c>
      <c r="H45" s="65">
        <v>0.8</v>
      </c>
      <c r="I45" s="65" t="s">
        <v>50</v>
      </c>
      <c r="J45" s="65">
        <v>0</v>
      </c>
      <c r="K45" s="65">
        <v>167</v>
      </c>
      <c r="L45" s="65" t="s">
        <v>29</v>
      </c>
      <c r="M45" s="19"/>
      <c r="N45" s="19"/>
      <c r="O45" s="19"/>
      <c r="P45" s="19"/>
    </row>
    <row r="46" spans="1:17">
      <c r="A46" s="70" t="s">
        <v>51</v>
      </c>
      <c r="B46" s="66" t="s">
        <v>52</v>
      </c>
      <c r="C46" s="66">
        <v>6.2350000000000001E-3</v>
      </c>
      <c r="D46" s="72">
        <v>896</v>
      </c>
      <c r="E46" s="66">
        <v>0</v>
      </c>
      <c r="F46" s="66" t="s">
        <v>54</v>
      </c>
      <c r="G46" s="66">
        <v>0.8</v>
      </c>
      <c r="H46" s="66">
        <v>0.8</v>
      </c>
      <c r="I46" s="66" t="s">
        <v>55</v>
      </c>
      <c r="J46" s="66">
        <v>0</v>
      </c>
      <c r="K46" s="66">
        <v>167</v>
      </c>
      <c r="L46" s="66" t="s">
        <v>29</v>
      </c>
      <c r="M46" s="19"/>
      <c r="N46" s="19"/>
      <c r="O46" s="19"/>
      <c r="P46" s="19"/>
    </row>
    <row r="47" spans="1:17">
      <c r="A47" s="69" t="s">
        <v>56</v>
      </c>
      <c r="B47" s="65" t="s">
        <v>57</v>
      </c>
      <c r="C47" s="65">
        <v>2.1920000000000002E-2</v>
      </c>
      <c r="D47" s="72">
        <v>896</v>
      </c>
      <c r="E47" s="65">
        <v>9.5999999999999992E-3</v>
      </c>
      <c r="F47" s="65" t="s">
        <v>59</v>
      </c>
      <c r="G47" s="65">
        <v>0.8</v>
      </c>
      <c r="H47" s="65">
        <v>0.8</v>
      </c>
      <c r="I47" s="65" t="s">
        <v>60</v>
      </c>
      <c r="J47" s="65">
        <v>0</v>
      </c>
      <c r="K47" s="65">
        <v>167</v>
      </c>
      <c r="L47" s="65" t="s">
        <v>29</v>
      </c>
      <c r="M47" s="19"/>
      <c r="N47" s="19"/>
      <c r="O47" s="19"/>
      <c r="P47" s="19"/>
    </row>
    <row r="48" spans="1:17">
      <c r="A48" s="70" t="s">
        <v>61</v>
      </c>
      <c r="B48" s="66" t="s">
        <v>62</v>
      </c>
      <c r="C48" s="66">
        <v>1.8E-3</v>
      </c>
      <c r="D48" s="72">
        <v>1000</v>
      </c>
      <c r="E48" s="66">
        <v>5.7600000000000001E-4</v>
      </c>
      <c r="F48" s="66" t="s">
        <v>59</v>
      </c>
      <c r="G48" s="66">
        <v>0.8</v>
      </c>
      <c r="H48" s="66">
        <v>0.8</v>
      </c>
      <c r="I48" s="66" t="s">
        <v>65</v>
      </c>
      <c r="J48" s="66">
        <v>0</v>
      </c>
      <c r="K48" s="66">
        <v>0.188</v>
      </c>
      <c r="L48" s="66" t="s">
        <v>29</v>
      </c>
      <c r="M48" s="19"/>
      <c r="N48" s="19"/>
      <c r="O48" s="19"/>
      <c r="P48" s="19"/>
    </row>
    <row r="49" spans="1:16">
      <c r="A49" s="69" t="s">
        <v>67</v>
      </c>
      <c r="B49" s="65" t="s">
        <v>68</v>
      </c>
      <c r="C49" s="65">
        <v>1.8E-3</v>
      </c>
      <c r="D49" s="72">
        <v>1000</v>
      </c>
      <c r="E49" s="65">
        <v>5.7600000000000001E-4</v>
      </c>
      <c r="F49" s="65" t="s">
        <v>59</v>
      </c>
      <c r="G49" s="65">
        <v>0.8</v>
      </c>
      <c r="H49" s="65">
        <v>0.8</v>
      </c>
      <c r="I49" s="65" t="s">
        <v>65</v>
      </c>
      <c r="J49" s="65">
        <v>0</v>
      </c>
      <c r="K49" s="65">
        <v>0.188</v>
      </c>
      <c r="L49" s="65" t="s">
        <v>29</v>
      </c>
      <c r="M49" s="19"/>
      <c r="N49" s="19"/>
      <c r="O49" s="19"/>
      <c r="P49" s="19"/>
    </row>
    <row r="50" spans="1:16">
      <c r="A50" s="70" t="s">
        <v>69</v>
      </c>
      <c r="B50" s="66" t="s">
        <v>70</v>
      </c>
      <c r="C50" s="66">
        <v>1.8E-3</v>
      </c>
      <c r="D50" s="72">
        <v>1000</v>
      </c>
      <c r="E50" s="66">
        <v>5.7600000000000001E-4</v>
      </c>
      <c r="F50" s="66" t="s">
        <v>59</v>
      </c>
      <c r="G50" s="66">
        <v>0.8</v>
      </c>
      <c r="H50" s="66">
        <v>0.8</v>
      </c>
      <c r="I50" s="66" t="s">
        <v>65</v>
      </c>
      <c r="J50" s="66">
        <v>0</v>
      </c>
      <c r="K50" s="66">
        <v>0.188</v>
      </c>
      <c r="L50" s="66" t="s">
        <v>29</v>
      </c>
    </row>
    <row r="51" spans="1:16">
      <c r="A51" s="69" t="s">
        <v>71</v>
      </c>
      <c r="B51" s="65" t="s">
        <v>72</v>
      </c>
      <c r="C51" s="65">
        <v>1.8E-3</v>
      </c>
      <c r="D51" s="72">
        <v>1000</v>
      </c>
      <c r="E51" s="65">
        <v>5.7600000000000001E-4</v>
      </c>
      <c r="F51" s="65" t="s">
        <v>59</v>
      </c>
      <c r="G51" s="65">
        <v>0.8</v>
      </c>
      <c r="H51" s="65">
        <v>0.8</v>
      </c>
      <c r="I51" s="65" t="s">
        <v>65</v>
      </c>
      <c r="J51" s="65">
        <v>0</v>
      </c>
      <c r="K51" s="65">
        <v>0.188</v>
      </c>
      <c r="L51" s="65" t="s">
        <v>29</v>
      </c>
    </row>
    <row r="52" spans="1:16">
      <c r="A52" s="70" t="s">
        <v>73</v>
      </c>
      <c r="B52" s="66" t="s">
        <v>74</v>
      </c>
      <c r="C52" s="66">
        <v>2.375E-2</v>
      </c>
      <c r="D52" s="72">
        <v>1100</v>
      </c>
      <c r="E52" s="66">
        <v>0</v>
      </c>
      <c r="F52" s="66" t="s">
        <v>29</v>
      </c>
      <c r="G52" s="66" t="s">
        <v>29</v>
      </c>
      <c r="H52" s="66" t="s">
        <v>29</v>
      </c>
      <c r="I52" s="66" t="s">
        <v>77</v>
      </c>
      <c r="J52" s="66">
        <v>0</v>
      </c>
      <c r="K52" s="66">
        <v>0.28999999999999998</v>
      </c>
      <c r="L52" s="66" t="s">
        <v>29</v>
      </c>
    </row>
    <row r="53" spans="1:16">
      <c r="A53" s="69" t="s">
        <v>78</v>
      </c>
      <c r="B53" s="65" t="s">
        <v>79</v>
      </c>
      <c r="C53" s="65">
        <v>0.12590999999999999</v>
      </c>
      <c r="D53" s="72">
        <v>800</v>
      </c>
      <c r="E53" s="65">
        <v>0</v>
      </c>
      <c r="F53" s="65" t="s">
        <v>29</v>
      </c>
      <c r="G53" s="65" t="s">
        <v>29</v>
      </c>
      <c r="H53" s="65" t="s">
        <v>29</v>
      </c>
      <c r="I53" s="65" t="s">
        <v>82</v>
      </c>
      <c r="J53" s="65">
        <v>0</v>
      </c>
      <c r="K53" s="12" t="s">
        <v>29</v>
      </c>
      <c r="L53" s="65" t="s">
        <v>29</v>
      </c>
    </row>
    <row r="54" spans="1:16">
      <c r="A54" s="70" t="s">
        <v>83</v>
      </c>
      <c r="B54" s="66" t="s">
        <v>84</v>
      </c>
      <c r="C54" s="66">
        <v>3.9E-2</v>
      </c>
      <c r="D54" s="72">
        <v>932.5</v>
      </c>
      <c r="E54" s="66">
        <v>0</v>
      </c>
      <c r="F54" s="66" t="s">
        <v>29</v>
      </c>
      <c r="G54" s="66" t="s">
        <v>29</v>
      </c>
      <c r="H54" s="66" t="s">
        <v>29</v>
      </c>
      <c r="I54" s="66" t="s">
        <v>77</v>
      </c>
      <c r="J54" s="66">
        <v>0.5</v>
      </c>
      <c r="K54" s="66">
        <v>0.4</v>
      </c>
      <c r="L54" s="66" t="s">
        <v>29</v>
      </c>
    </row>
    <row r="55" spans="1:16">
      <c r="A55" s="69" t="s">
        <v>87</v>
      </c>
      <c r="B55" s="65" t="s">
        <v>88</v>
      </c>
      <c r="C55" s="65">
        <v>3.9E-2</v>
      </c>
      <c r="D55" s="72">
        <v>932.5</v>
      </c>
      <c r="E55" s="65">
        <v>0</v>
      </c>
      <c r="F55" s="65" t="s">
        <v>29</v>
      </c>
      <c r="G55" s="65" t="s">
        <v>29</v>
      </c>
      <c r="H55" s="65" t="s">
        <v>29</v>
      </c>
      <c r="I55" s="65" t="s">
        <v>77</v>
      </c>
      <c r="J55" s="65">
        <v>0.5</v>
      </c>
      <c r="K55" s="65">
        <v>0.4</v>
      </c>
      <c r="L55" s="65" t="s">
        <v>29</v>
      </c>
    </row>
    <row r="56" spans="1:16">
      <c r="A56" s="70" t="s">
        <v>89</v>
      </c>
      <c r="B56" s="66" t="s">
        <v>90</v>
      </c>
      <c r="C56" s="66">
        <v>3.9E-2</v>
      </c>
      <c r="D56" s="72">
        <v>932.5</v>
      </c>
      <c r="E56" s="66">
        <v>0</v>
      </c>
      <c r="F56" s="66" t="s">
        <v>29</v>
      </c>
      <c r="G56" s="66" t="s">
        <v>29</v>
      </c>
      <c r="H56" s="66" t="s">
        <v>29</v>
      </c>
      <c r="I56" s="66" t="s">
        <v>77</v>
      </c>
      <c r="J56" s="66">
        <v>0.5</v>
      </c>
      <c r="K56" s="66">
        <v>0.4</v>
      </c>
      <c r="L56" s="66" t="s">
        <v>29</v>
      </c>
    </row>
    <row r="57" spans="1:16">
      <c r="A57" s="69" t="s">
        <v>91</v>
      </c>
      <c r="B57" s="65" t="s">
        <v>92</v>
      </c>
      <c r="C57" s="65">
        <v>3.9E-2</v>
      </c>
      <c r="D57" s="72">
        <v>932.5</v>
      </c>
      <c r="E57" s="65">
        <v>0</v>
      </c>
      <c r="F57" s="65" t="s">
        <v>29</v>
      </c>
      <c r="G57" s="65" t="s">
        <v>29</v>
      </c>
      <c r="H57" s="65" t="s">
        <v>29</v>
      </c>
      <c r="I57" s="65" t="s">
        <v>77</v>
      </c>
      <c r="J57" s="65">
        <v>0.5</v>
      </c>
      <c r="K57" s="65">
        <v>0.4</v>
      </c>
      <c r="L57" s="65" t="s">
        <v>29</v>
      </c>
    </row>
    <row r="58" spans="1:16">
      <c r="A58" s="70" t="s">
        <v>93</v>
      </c>
      <c r="B58" s="66" t="s">
        <v>94</v>
      </c>
      <c r="C58" s="66">
        <v>0.05</v>
      </c>
      <c r="D58" s="72">
        <v>1000</v>
      </c>
      <c r="E58" s="66">
        <v>0</v>
      </c>
      <c r="F58" s="66" t="s">
        <v>29</v>
      </c>
      <c r="G58" s="66" t="s">
        <v>29</v>
      </c>
      <c r="H58" s="66" t="s">
        <v>29</v>
      </c>
      <c r="I58" s="66" t="s">
        <v>77</v>
      </c>
      <c r="J58" s="66">
        <v>0.1</v>
      </c>
      <c r="K58" s="66">
        <v>1.17</v>
      </c>
      <c r="L58" s="66" t="s">
        <v>29</v>
      </c>
    </row>
    <row r="59" spans="1:16">
      <c r="A59" s="69" t="s">
        <v>97</v>
      </c>
      <c r="B59" s="65" t="s">
        <v>98</v>
      </c>
      <c r="C59" s="65">
        <v>0.05</v>
      </c>
      <c r="D59" s="72">
        <v>1000</v>
      </c>
      <c r="E59" s="65">
        <v>0</v>
      </c>
      <c r="F59" s="65" t="s">
        <v>29</v>
      </c>
      <c r="G59" s="65" t="s">
        <v>29</v>
      </c>
      <c r="H59" s="65" t="s">
        <v>29</v>
      </c>
      <c r="I59" s="65" t="s">
        <v>77</v>
      </c>
      <c r="J59" s="65">
        <v>0</v>
      </c>
      <c r="K59" s="65">
        <v>1.17</v>
      </c>
      <c r="L59" s="65" t="s">
        <v>29</v>
      </c>
    </row>
    <row r="60" spans="1:16">
      <c r="A60" s="70" t="s">
        <v>99</v>
      </c>
      <c r="B60" s="66" t="s">
        <v>100</v>
      </c>
      <c r="C60" s="66">
        <v>3.8490000000000003E-2</v>
      </c>
      <c r="D60" s="72">
        <v>1100</v>
      </c>
      <c r="E60" s="66">
        <v>0</v>
      </c>
      <c r="F60" s="66" t="s">
        <v>29</v>
      </c>
      <c r="G60" s="66" t="s">
        <v>29</v>
      </c>
      <c r="H60" s="66" t="s">
        <v>29</v>
      </c>
      <c r="I60" s="66" t="s">
        <v>102</v>
      </c>
      <c r="J60" s="66">
        <v>0.5</v>
      </c>
      <c r="K60" s="66">
        <v>0.28999999999999998</v>
      </c>
      <c r="L60" s="66" t="s">
        <v>29</v>
      </c>
    </row>
    <row r="61" spans="1:16">
      <c r="A61" s="69" t="s">
        <v>103</v>
      </c>
      <c r="B61" s="65" t="s">
        <v>104</v>
      </c>
      <c r="C61" s="65">
        <v>7.4999999999999997E-2</v>
      </c>
      <c r="D61" s="72">
        <v>1100</v>
      </c>
      <c r="E61" s="65">
        <v>0</v>
      </c>
      <c r="F61" s="65" t="s">
        <v>29</v>
      </c>
      <c r="G61" s="65" t="s">
        <v>29</v>
      </c>
      <c r="H61" s="65" t="s">
        <v>29</v>
      </c>
      <c r="I61" s="65" t="s">
        <v>106</v>
      </c>
      <c r="J61" s="65">
        <v>0.5</v>
      </c>
      <c r="K61" s="65">
        <v>0.28999999999999998</v>
      </c>
      <c r="L61" s="65" t="s">
        <v>29</v>
      </c>
    </row>
    <row r="62" spans="1:16">
      <c r="A62" s="70" t="s">
        <v>107</v>
      </c>
      <c r="B62" s="66" t="s">
        <v>108</v>
      </c>
      <c r="C62" s="66">
        <v>8.5000000000000006E-2</v>
      </c>
      <c r="D62" s="72">
        <v>857.4</v>
      </c>
      <c r="E62" s="66">
        <v>0</v>
      </c>
      <c r="F62" s="66" t="s">
        <v>29</v>
      </c>
      <c r="G62" s="66" t="s">
        <v>29</v>
      </c>
      <c r="H62" s="66" t="s">
        <v>29</v>
      </c>
      <c r="I62" s="66" t="s">
        <v>111</v>
      </c>
      <c r="J62" s="66">
        <v>2</v>
      </c>
      <c r="K62" s="66">
        <v>167</v>
      </c>
      <c r="L62" s="66">
        <v>0.7</v>
      </c>
    </row>
    <row r="63" spans="1:16">
      <c r="A63" s="69" t="s">
        <v>112</v>
      </c>
      <c r="B63" s="65" t="s">
        <v>113</v>
      </c>
      <c r="C63" s="65">
        <v>2.4E-2</v>
      </c>
      <c r="D63" s="72">
        <v>1100</v>
      </c>
      <c r="E63" s="65">
        <v>0</v>
      </c>
      <c r="F63" s="65" t="s">
        <v>29</v>
      </c>
      <c r="G63" s="65" t="s">
        <v>29</v>
      </c>
      <c r="H63" s="65" t="s">
        <v>29</v>
      </c>
      <c r="I63" s="65" t="s">
        <v>115</v>
      </c>
      <c r="J63" s="71">
        <v>1.5</v>
      </c>
      <c r="K63" s="65">
        <v>0.28999999999999998</v>
      </c>
      <c r="L63" s="65" t="s">
        <v>29</v>
      </c>
    </row>
    <row r="64" spans="1:16">
      <c r="A64" s="70" t="s">
        <v>116</v>
      </c>
      <c r="B64" s="66" t="s">
        <v>117</v>
      </c>
      <c r="C64" s="66">
        <v>5.2999999999999999E-2</v>
      </c>
      <c r="D64" s="72">
        <v>703</v>
      </c>
      <c r="E64" s="66">
        <v>8.0940000000000005E-3</v>
      </c>
      <c r="F64" s="66" t="s">
        <v>120</v>
      </c>
      <c r="G64" s="66">
        <v>0.8</v>
      </c>
      <c r="H64" s="66">
        <v>0.8</v>
      </c>
      <c r="I64" s="66" t="s">
        <v>121</v>
      </c>
      <c r="J64" s="66">
        <v>2.4</v>
      </c>
      <c r="K64" s="66">
        <v>0.35</v>
      </c>
      <c r="L64" s="66">
        <v>2.2000000000000001E-3</v>
      </c>
    </row>
    <row r="65" spans="1:12">
      <c r="A65" s="69" t="s">
        <v>122</v>
      </c>
      <c r="B65" s="65" t="s">
        <v>123</v>
      </c>
      <c r="C65" s="65">
        <v>4.3999999999999997E-2</v>
      </c>
      <c r="D65" s="72">
        <v>703</v>
      </c>
      <c r="E65" s="65">
        <v>8.0940000000000005E-3</v>
      </c>
      <c r="F65" s="65" t="s">
        <v>125</v>
      </c>
      <c r="G65" s="65">
        <v>0.8</v>
      </c>
      <c r="H65" s="65">
        <v>0.8</v>
      </c>
      <c r="I65" s="65" t="s">
        <v>126</v>
      </c>
      <c r="J65" s="65">
        <v>2.4</v>
      </c>
      <c r="K65" s="65">
        <v>0.35</v>
      </c>
      <c r="L65" s="65">
        <v>2.2000000000000001E-3</v>
      </c>
    </row>
    <row r="66" spans="1:12">
      <c r="A66" s="70" t="s">
        <v>127</v>
      </c>
      <c r="B66" s="67" t="s">
        <v>128</v>
      </c>
      <c r="C66" s="66">
        <v>4.4999999999999998E-2</v>
      </c>
      <c r="D66" s="72">
        <v>703</v>
      </c>
      <c r="E66" s="66">
        <v>8.0940000000000005E-3</v>
      </c>
      <c r="F66" s="66" t="s">
        <v>30</v>
      </c>
      <c r="G66" s="66">
        <v>0.8</v>
      </c>
      <c r="H66" s="66">
        <v>0.8</v>
      </c>
      <c r="I66" s="66" t="s">
        <v>130</v>
      </c>
      <c r="J66" s="66">
        <v>2.4</v>
      </c>
      <c r="K66" s="66">
        <v>0.35</v>
      </c>
      <c r="L66" s="66">
        <v>2.2000000000000001E-3</v>
      </c>
    </row>
    <row r="67" spans="1:12">
      <c r="A67" s="69" t="s">
        <v>131</v>
      </c>
      <c r="B67" s="68" t="s">
        <v>132</v>
      </c>
      <c r="C67" s="65">
        <v>5.2999999999999999E-2</v>
      </c>
      <c r="D67" s="72">
        <v>703</v>
      </c>
      <c r="E67" s="65">
        <v>8.0940000000000005E-3</v>
      </c>
      <c r="F67" s="65" t="s">
        <v>34</v>
      </c>
      <c r="G67" s="65">
        <v>0.8</v>
      </c>
      <c r="H67" s="65">
        <v>0.8</v>
      </c>
      <c r="I67" s="65" t="s">
        <v>133</v>
      </c>
      <c r="J67" s="65">
        <v>2.4</v>
      </c>
      <c r="K67" s="65">
        <v>0.35</v>
      </c>
      <c r="L67" s="65">
        <v>2.2000000000000001E-3</v>
      </c>
    </row>
    <row r="68" spans="1:12">
      <c r="A68" s="70" t="s">
        <v>134</v>
      </c>
      <c r="B68" s="66" t="s">
        <v>135</v>
      </c>
      <c r="C68" s="66">
        <v>5.7500000000000002E-2</v>
      </c>
      <c r="D68" s="72">
        <v>703</v>
      </c>
      <c r="E68" s="66">
        <v>8.4469999999999996E-3</v>
      </c>
      <c r="F68" s="66" t="s">
        <v>137</v>
      </c>
      <c r="G68" s="66">
        <v>0.8</v>
      </c>
      <c r="H68" s="66">
        <v>0.8</v>
      </c>
      <c r="I68" s="66" t="s">
        <v>138</v>
      </c>
      <c r="J68" s="66">
        <v>2.4</v>
      </c>
      <c r="K68" s="66">
        <v>0.35</v>
      </c>
      <c r="L68" s="66">
        <v>2.2000000000000001E-3</v>
      </c>
    </row>
    <row r="69" spans="1:12">
      <c r="A69" s="69" t="s">
        <v>139</v>
      </c>
      <c r="B69" s="65" t="s">
        <v>140</v>
      </c>
      <c r="C69" s="65">
        <v>0.04</v>
      </c>
      <c r="D69" s="73">
        <v>1100</v>
      </c>
      <c r="E69" s="65">
        <v>0</v>
      </c>
      <c r="F69" s="65" t="s">
        <v>29</v>
      </c>
      <c r="G69" s="65" t="s">
        <v>29</v>
      </c>
      <c r="H69" s="65" t="s">
        <v>29</v>
      </c>
      <c r="I69" s="65" t="s">
        <v>142</v>
      </c>
      <c r="J69" s="65"/>
      <c r="K69" s="65">
        <v>0.28999999999999998</v>
      </c>
      <c r="L69" s="65"/>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topLeftCell="A46" workbookViewId="0">
      <selection activeCell="B86" sqref="B86"/>
    </sheetView>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2" t="s">
        <v>147</v>
      </c>
      <c r="H1" s="23"/>
      <c r="I1" s="24"/>
    </row>
    <row r="2" spans="1:9">
      <c r="A2" s="25" t="s">
        <v>148</v>
      </c>
      <c r="B2" s="7" t="s">
        <v>149</v>
      </c>
      <c r="G2" s="26"/>
      <c r="H2" s="189" t="s">
        <v>150</v>
      </c>
      <c r="I2" s="190"/>
    </row>
    <row r="3" spans="1:9">
      <c r="A3" s="27" t="s">
        <v>151</v>
      </c>
      <c r="B3" s="7" t="s">
        <v>152</v>
      </c>
      <c r="G3" s="28" t="s">
        <v>153</v>
      </c>
      <c r="H3" s="29">
        <v>1.57</v>
      </c>
      <c r="I3" s="30">
        <v>3.18</v>
      </c>
    </row>
    <row r="4" spans="1:9">
      <c r="A4" s="31" t="s">
        <v>154</v>
      </c>
      <c r="B4" s="7" t="s">
        <v>155</v>
      </c>
      <c r="G4" s="32">
        <v>2.5</v>
      </c>
      <c r="H4" s="33">
        <v>15.17</v>
      </c>
      <c r="I4" s="34" t="s">
        <v>156</v>
      </c>
    </row>
    <row r="5" spans="1:9">
      <c r="A5" s="35" t="s">
        <v>157</v>
      </c>
      <c r="B5" s="7" t="s">
        <v>158</v>
      </c>
      <c r="G5" s="36">
        <v>2.8</v>
      </c>
      <c r="H5" s="37">
        <v>12.6</v>
      </c>
      <c r="I5" s="38" t="s">
        <v>156</v>
      </c>
    </row>
    <row r="6" spans="1:9">
      <c r="G6" s="32">
        <v>3</v>
      </c>
      <c r="H6" s="33">
        <f>((H5-H7)/(G5-G7))*(G6-G7)+H7</f>
        <v>10.888571428571428</v>
      </c>
      <c r="I6" s="34">
        <f>((I7-I8)/(G7-G8))*(G6-G7)+I7</f>
        <v>2.7</v>
      </c>
    </row>
    <row r="7" spans="1:9">
      <c r="G7" s="36">
        <v>3.5</v>
      </c>
      <c r="H7" s="37">
        <v>6.61</v>
      </c>
      <c r="I7" s="38">
        <v>2.2000000000000002</v>
      </c>
    </row>
    <row r="8" spans="1:9">
      <c r="A8" s="39" t="s">
        <v>159</v>
      </c>
      <c r="B8" s="40" t="s">
        <v>160</v>
      </c>
      <c r="G8" s="41">
        <v>4.2</v>
      </c>
      <c r="H8" s="42">
        <v>4.5</v>
      </c>
      <c r="I8" s="43">
        <v>1.5</v>
      </c>
    </row>
    <row r="9" spans="1:9">
      <c r="A9" s="44" t="s">
        <v>161</v>
      </c>
      <c r="B9" s="45" t="s">
        <v>151</v>
      </c>
    </row>
    <row r="10" spans="1:9">
      <c r="A10" s="46" t="s">
        <v>162</v>
      </c>
      <c r="B10" s="47" t="s">
        <v>163</v>
      </c>
    </row>
    <row r="11" spans="1:9">
      <c r="A11" s="46" t="s">
        <v>14</v>
      </c>
      <c r="B11" s="48">
        <v>7.762E-4</v>
      </c>
    </row>
    <row r="12" spans="1:9">
      <c r="A12" s="46" t="s">
        <v>164</v>
      </c>
      <c r="B12" s="47">
        <v>1</v>
      </c>
    </row>
    <row r="13" spans="1:9">
      <c r="A13" s="46" t="s">
        <v>165</v>
      </c>
      <c r="B13" s="47" t="s">
        <v>166</v>
      </c>
    </row>
    <row r="14" spans="1:9">
      <c r="A14" s="46" t="s">
        <v>167</v>
      </c>
      <c r="B14" s="47" t="s">
        <v>168</v>
      </c>
    </row>
    <row r="15" spans="1:9">
      <c r="A15" s="46" t="s">
        <v>169</v>
      </c>
      <c r="B15" s="47">
        <v>3.18</v>
      </c>
    </row>
    <row r="16" spans="1:9">
      <c r="A16" s="46" t="s">
        <v>170</v>
      </c>
      <c r="B16" s="49">
        <v>2.7</v>
      </c>
    </row>
    <row r="17" spans="1:2">
      <c r="A17" s="50" t="s">
        <v>171</v>
      </c>
      <c r="B17" s="51">
        <f>1/B16</f>
        <v>0.37037037037037035</v>
      </c>
    </row>
    <row r="18" spans="1:2">
      <c r="A18" s="52" t="s">
        <v>172</v>
      </c>
      <c r="B18" s="53">
        <f>B12*B17</f>
        <v>0.37037037037037035</v>
      </c>
    </row>
    <row r="20" spans="1:2">
      <c r="A20" s="39" t="s">
        <v>173</v>
      </c>
      <c r="B20" s="40" t="s">
        <v>174</v>
      </c>
    </row>
    <row r="21" spans="1:2">
      <c r="A21" s="54" t="s">
        <v>161</v>
      </c>
      <c r="B21" s="55" t="s">
        <v>154</v>
      </c>
    </row>
    <row r="22" spans="1:2">
      <c r="A22" s="46" t="s">
        <v>162</v>
      </c>
      <c r="B22" s="47" t="s">
        <v>175</v>
      </c>
    </row>
    <row r="23" spans="1:2">
      <c r="A23" s="46" t="s">
        <v>14</v>
      </c>
      <c r="B23" s="48">
        <v>4.8523999999999998E-3</v>
      </c>
    </row>
    <row r="24" spans="1:2">
      <c r="A24" s="46" t="s">
        <v>176</v>
      </c>
      <c r="B24" s="49">
        <v>50</v>
      </c>
    </row>
    <row r="25" spans="1:2">
      <c r="A25" s="56" t="s">
        <v>172</v>
      </c>
      <c r="B25" s="57">
        <f>B24*B23</f>
        <v>0.24262</v>
      </c>
    </row>
    <row r="27" spans="1:2">
      <c r="A27" s="39" t="s">
        <v>177</v>
      </c>
      <c r="B27" s="40" t="s">
        <v>178</v>
      </c>
    </row>
    <row r="28" spans="1:2">
      <c r="A28" s="44" t="s">
        <v>161</v>
      </c>
      <c r="B28" s="45" t="s">
        <v>151</v>
      </c>
    </row>
    <row r="29" spans="1:2">
      <c r="A29" s="46" t="s">
        <v>162</v>
      </c>
      <c r="B29" s="47" t="s">
        <v>179</v>
      </c>
    </row>
    <row r="30" spans="1:2">
      <c r="A30" s="46" t="s">
        <v>14</v>
      </c>
      <c r="B30" s="48">
        <v>1.302E-2</v>
      </c>
    </row>
    <row r="31" spans="1:2">
      <c r="A31" s="46" t="s">
        <v>164</v>
      </c>
      <c r="B31" s="47">
        <v>4</v>
      </c>
    </row>
    <row r="32" spans="1:2">
      <c r="A32" s="46" t="s">
        <v>165</v>
      </c>
      <c r="B32" s="47" t="s">
        <v>166</v>
      </c>
    </row>
    <row r="33" spans="1:6">
      <c r="A33" s="46" t="s">
        <v>167</v>
      </c>
      <c r="B33" s="47" t="s">
        <v>180</v>
      </c>
    </row>
    <row r="34" spans="1:6">
      <c r="A34" s="46" t="s">
        <v>169</v>
      </c>
      <c r="B34" s="47">
        <v>1.57</v>
      </c>
    </row>
    <row r="35" spans="1:6">
      <c r="A35" s="46" t="s">
        <v>170</v>
      </c>
      <c r="B35" s="49">
        <v>10.89</v>
      </c>
    </row>
    <row r="36" spans="1:6">
      <c r="A36" s="7" t="s">
        <v>171</v>
      </c>
      <c r="B36" s="58">
        <f>1/B35</f>
        <v>9.1827364554637275E-2</v>
      </c>
    </row>
    <row r="37" spans="1:6">
      <c r="A37" s="52" t="s">
        <v>172</v>
      </c>
      <c r="B37" s="53">
        <f>B31*B36</f>
        <v>0.3673094582185491</v>
      </c>
    </row>
    <row r="38" spans="1:6">
      <c r="F38" s="7" t="s">
        <v>181</v>
      </c>
    </row>
    <row r="39" spans="1:6">
      <c r="A39" s="39" t="s">
        <v>182</v>
      </c>
      <c r="B39" s="40" t="s">
        <v>183</v>
      </c>
    </row>
    <row r="40" spans="1:6">
      <c r="A40" s="44" t="s">
        <v>161</v>
      </c>
      <c r="B40" s="45" t="s">
        <v>151</v>
      </c>
    </row>
    <row r="41" spans="1:6">
      <c r="A41" s="46" t="s">
        <v>162</v>
      </c>
      <c r="B41" s="47" t="s">
        <v>184</v>
      </c>
    </row>
    <row r="42" spans="1:6">
      <c r="A42" s="46" t="s">
        <v>14</v>
      </c>
      <c r="B42" s="48">
        <v>3.9569999999999996E-3</v>
      </c>
    </row>
    <row r="43" spans="1:6">
      <c r="A43" s="46" t="s">
        <v>164</v>
      </c>
      <c r="B43" s="47">
        <v>2</v>
      </c>
    </row>
    <row r="44" spans="1:6">
      <c r="A44" s="46" t="s">
        <v>165</v>
      </c>
      <c r="B44" s="47" t="s">
        <v>166</v>
      </c>
    </row>
    <row r="45" spans="1:6">
      <c r="A45" s="46" t="s">
        <v>167</v>
      </c>
      <c r="B45" s="47" t="s">
        <v>185</v>
      </c>
    </row>
    <row r="46" spans="1:6">
      <c r="A46" s="46" t="s">
        <v>169</v>
      </c>
      <c r="B46" s="47">
        <v>1.57</v>
      </c>
    </row>
    <row r="47" spans="1:6">
      <c r="A47" s="46" t="s">
        <v>170</v>
      </c>
      <c r="B47" s="49">
        <v>10.89</v>
      </c>
    </row>
    <row r="48" spans="1:6">
      <c r="A48" s="7" t="s">
        <v>171</v>
      </c>
      <c r="B48" s="58">
        <f>1/B47</f>
        <v>9.1827364554637275E-2</v>
      </c>
    </row>
    <row r="49" spans="1:2">
      <c r="A49" s="52" t="s">
        <v>172</v>
      </c>
      <c r="B49" s="53">
        <f>B43*B48</f>
        <v>0.18365472910927455</v>
      </c>
    </row>
    <row r="51" spans="1:2">
      <c r="A51" s="39" t="s">
        <v>186</v>
      </c>
      <c r="B51" s="40" t="s">
        <v>187</v>
      </c>
    </row>
    <row r="52" spans="1:2">
      <c r="A52" s="44" t="s">
        <v>161</v>
      </c>
      <c r="B52" s="45" t="s">
        <v>151</v>
      </c>
    </row>
    <row r="53" spans="1:2">
      <c r="A53" s="46" t="s">
        <v>162</v>
      </c>
      <c r="B53" s="47" t="s">
        <v>188</v>
      </c>
    </row>
    <row r="54" spans="1:2">
      <c r="A54" s="46" t="s">
        <v>14</v>
      </c>
      <c r="B54" s="48">
        <v>1.6140000000000002E-2</v>
      </c>
    </row>
    <row r="55" spans="1:2">
      <c r="A55" s="46" t="s">
        <v>164</v>
      </c>
      <c r="B55" s="47">
        <v>2</v>
      </c>
    </row>
    <row r="56" spans="1:2">
      <c r="A56" s="46" t="s">
        <v>165</v>
      </c>
      <c r="B56" s="47" t="s">
        <v>166</v>
      </c>
    </row>
    <row r="57" spans="1:2">
      <c r="A57" s="46" t="s">
        <v>167</v>
      </c>
      <c r="B57" s="47" t="s">
        <v>185</v>
      </c>
    </row>
    <row r="58" spans="1:2">
      <c r="A58" s="46" t="s">
        <v>169</v>
      </c>
      <c r="B58" s="47">
        <v>1.57</v>
      </c>
    </row>
    <row r="59" spans="1:2">
      <c r="A59" s="46" t="s">
        <v>170</v>
      </c>
      <c r="B59" s="49">
        <v>10.89</v>
      </c>
    </row>
    <row r="60" spans="1:2">
      <c r="A60" s="7" t="s">
        <v>171</v>
      </c>
      <c r="B60" s="51">
        <f>1/B59</f>
        <v>9.1827364554637275E-2</v>
      </c>
    </row>
    <row r="61" spans="1:2">
      <c r="A61" s="52" t="s">
        <v>172</v>
      </c>
      <c r="B61" s="53">
        <f>B55*B60</f>
        <v>0.18365472910927455</v>
      </c>
    </row>
    <row r="63" spans="1:2">
      <c r="A63" s="39" t="s">
        <v>189</v>
      </c>
      <c r="B63" s="40" t="s">
        <v>190</v>
      </c>
    </row>
    <row r="64" spans="1:2">
      <c r="A64" s="44" t="s">
        <v>161</v>
      </c>
      <c r="B64" s="45" t="s">
        <v>151</v>
      </c>
    </row>
    <row r="65" spans="1:2">
      <c r="A65" s="46" t="s">
        <v>162</v>
      </c>
      <c r="B65" s="47" t="s">
        <v>191</v>
      </c>
    </row>
    <row r="66" spans="1:2">
      <c r="A66" s="46" t="s">
        <v>14</v>
      </c>
      <c r="B66" s="48" t="s">
        <v>192</v>
      </c>
    </row>
    <row r="67" spans="1:2">
      <c r="A67" s="46" t="s">
        <v>164</v>
      </c>
      <c r="B67" s="47">
        <v>4</v>
      </c>
    </row>
    <row r="68" spans="1:2">
      <c r="A68" s="46" t="s">
        <v>165</v>
      </c>
      <c r="B68" s="47" t="s">
        <v>193</v>
      </c>
    </row>
    <row r="69" spans="1:2">
      <c r="A69" s="46" t="s">
        <v>167</v>
      </c>
      <c r="B69" s="47" t="s">
        <v>180</v>
      </c>
    </row>
    <row r="70" spans="1:2">
      <c r="A70" s="46" t="s">
        <v>169</v>
      </c>
      <c r="B70" s="47">
        <v>1.57</v>
      </c>
    </row>
    <row r="71" spans="1:2">
      <c r="A71" s="46" t="s">
        <v>170</v>
      </c>
      <c r="B71" s="49">
        <v>15.17</v>
      </c>
    </row>
    <row r="72" spans="1:2">
      <c r="A72" s="7" t="s">
        <v>171</v>
      </c>
      <c r="B72" s="51">
        <f>1/B71</f>
        <v>6.5919578114700061E-2</v>
      </c>
    </row>
    <row r="73" spans="1:2">
      <c r="A73" s="52" t="s">
        <v>172</v>
      </c>
      <c r="B73" s="53">
        <f>B67*B72</f>
        <v>0.26367831245880025</v>
      </c>
    </row>
    <row r="75" spans="1:2">
      <c r="A75" s="59" t="s">
        <v>194</v>
      </c>
      <c r="B75" s="60" t="s">
        <v>195</v>
      </c>
    </row>
    <row r="76" spans="1:2">
      <c r="A76" s="61" t="s">
        <v>161</v>
      </c>
      <c r="B76" s="62" t="s">
        <v>148</v>
      </c>
    </row>
    <row r="77" spans="1:2">
      <c r="A77" s="46" t="s">
        <v>162</v>
      </c>
      <c r="B77" s="47" t="s">
        <v>196</v>
      </c>
    </row>
    <row r="78" spans="1:2">
      <c r="A78" s="46" t="s">
        <v>14</v>
      </c>
      <c r="B78" s="48">
        <v>5.4999999999999997E-3</v>
      </c>
    </row>
    <row r="79" spans="1:2">
      <c r="A79" s="46" t="s">
        <v>164</v>
      </c>
      <c r="B79" s="47">
        <v>2</v>
      </c>
    </row>
    <row r="80" spans="1:2">
      <c r="A80" s="46" t="s">
        <v>165</v>
      </c>
      <c r="B80" s="47" t="s">
        <v>166</v>
      </c>
    </row>
    <row r="81" spans="1:2">
      <c r="A81" s="46" t="s">
        <v>167</v>
      </c>
      <c r="B81" s="47" t="s">
        <v>197</v>
      </c>
    </row>
    <row r="82" spans="1:2">
      <c r="A82" s="46" t="s">
        <v>169</v>
      </c>
      <c r="B82" s="47">
        <v>1.57</v>
      </c>
    </row>
    <row r="83" spans="1:2">
      <c r="A83" s="46" t="s">
        <v>170</v>
      </c>
      <c r="B83" s="49">
        <v>10.89</v>
      </c>
    </row>
    <row r="84" spans="1:2">
      <c r="A84" s="7" t="s">
        <v>171</v>
      </c>
      <c r="B84" s="47">
        <f>1/B83</f>
        <v>9.1827364554637275E-2</v>
      </c>
    </row>
    <row r="85" spans="1:2">
      <c r="A85" s="46" t="s">
        <v>198</v>
      </c>
      <c r="B85" s="49">
        <v>1000</v>
      </c>
    </row>
    <row r="86" spans="1:2">
      <c r="A86" s="52" t="s">
        <v>172</v>
      </c>
      <c r="B86" s="53">
        <f>B79*B84+B85*B78</f>
        <v>5.6836547291092749</v>
      </c>
    </row>
    <row r="88" spans="1:2">
      <c r="A88" s="39" t="s">
        <v>199</v>
      </c>
      <c r="B88" s="40" t="s">
        <v>200</v>
      </c>
    </row>
    <row r="89" spans="1:2">
      <c r="A89" s="44" t="s">
        <v>161</v>
      </c>
      <c r="B89" s="45" t="s">
        <v>151</v>
      </c>
    </row>
    <row r="90" spans="1:2">
      <c r="A90" s="46" t="s">
        <v>162</v>
      </c>
      <c r="B90" s="47" t="s">
        <v>201</v>
      </c>
    </row>
    <row r="91" spans="1:2">
      <c r="A91" s="46" t="s">
        <v>164</v>
      </c>
      <c r="B91" s="47">
        <v>4</v>
      </c>
    </row>
    <row r="92" spans="1:2">
      <c r="A92" s="46" t="s">
        <v>165</v>
      </c>
      <c r="B92" s="47" t="s">
        <v>166</v>
      </c>
    </row>
    <row r="93" spans="1:2">
      <c r="A93" s="46" t="s">
        <v>167</v>
      </c>
      <c r="B93" s="47">
        <v>1.57</v>
      </c>
    </row>
    <row r="94" spans="1:2">
      <c r="A94" s="46" t="s">
        <v>169</v>
      </c>
      <c r="B94" s="47">
        <v>1.57</v>
      </c>
    </row>
    <row r="95" spans="1:2">
      <c r="A95" s="46" t="s">
        <v>170</v>
      </c>
      <c r="B95" s="49">
        <v>10.89</v>
      </c>
    </row>
    <row r="96" spans="1:2">
      <c r="A96" s="7" t="s">
        <v>171</v>
      </c>
      <c r="B96" s="51">
        <f>1/B95</f>
        <v>9.1827364554637275E-2</v>
      </c>
    </row>
    <row r="97" spans="1:2">
      <c r="A97" s="52" t="s">
        <v>172</v>
      </c>
      <c r="B97" s="53">
        <f>B91*B96</f>
        <v>0.3673094582185491</v>
      </c>
    </row>
    <row r="99" spans="1:2">
      <c r="A99" s="39" t="s">
        <v>202</v>
      </c>
      <c r="B99" s="40" t="s">
        <v>203</v>
      </c>
    </row>
    <row r="100" spans="1:2">
      <c r="A100" s="44" t="s">
        <v>161</v>
      </c>
      <c r="B100" s="45" t="s">
        <v>151</v>
      </c>
    </row>
    <row r="101" spans="1:2">
      <c r="A101" s="46" t="s">
        <v>162</v>
      </c>
      <c r="B101" s="47" t="s">
        <v>204</v>
      </c>
    </row>
    <row r="102" spans="1:2">
      <c r="A102" s="46" t="s">
        <v>164</v>
      </c>
      <c r="B102" s="47">
        <v>2</v>
      </c>
    </row>
    <row r="103" spans="1:2">
      <c r="A103" s="46" t="s">
        <v>165</v>
      </c>
      <c r="B103" s="47" t="s">
        <v>166</v>
      </c>
    </row>
    <row r="104" spans="1:2">
      <c r="A104" s="46" t="s">
        <v>167</v>
      </c>
      <c r="B104" s="47" t="s">
        <v>205</v>
      </c>
    </row>
    <row r="105" spans="1:2">
      <c r="A105" s="46" t="s">
        <v>169</v>
      </c>
      <c r="B105" s="47">
        <v>1.57</v>
      </c>
    </row>
    <row r="106" spans="1:2">
      <c r="A106" s="46" t="s">
        <v>170</v>
      </c>
      <c r="B106" s="49">
        <v>10.89</v>
      </c>
    </row>
    <row r="107" spans="1:2">
      <c r="A107" s="7" t="s">
        <v>171</v>
      </c>
      <c r="B107" s="51">
        <f>1/B106</f>
        <v>9.1827364554637275E-2</v>
      </c>
    </row>
    <row r="108" spans="1:2">
      <c r="A108" s="52" t="s">
        <v>172</v>
      </c>
      <c r="B108" s="53">
        <f>B102*B107</f>
        <v>0.18365472910927455</v>
      </c>
    </row>
    <row r="110" spans="1:2">
      <c r="A110" s="59" t="s">
        <v>206</v>
      </c>
      <c r="B110" s="60" t="s">
        <v>207</v>
      </c>
    </row>
    <row r="111" spans="1:2">
      <c r="A111" s="63" t="s">
        <v>161</v>
      </c>
      <c r="B111" s="64" t="s">
        <v>157</v>
      </c>
    </row>
    <row r="112" spans="1:2">
      <c r="A112" s="46" t="s">
        <v>162</v>
      </c>
      <c r="B112" s="47" t="s">
        <v>208</v>
      </c>
    </row>
    <row r="113" spans="1:2">
      <c r="A113" s="46" t="s">
        <v>14</v>
      </c>
      <c r="B113" s="48">
        <v>3.7569999999999999E-2</v>
      </c>
    </row>
    <row r="114" spans="1:2">
      <c r="A114" s="46" t="s">
        <v>198</v>
      </c>
      <c r="B114" s="49">
        <v>1000</v>
      </c>
    </row>
    <row r="115" spans="1:2">
      <c r="A115" s="52" t="s">
        <v>172</v>
      </c>
      <c r="B115" s="53">
        <f>B114*B113</f>
        <v>37.57</v>
      </c>
    </row>
    <row r="117" spans="1:2">
      <c r="A117" s="39" t="s">
        <v>209</v>
      </c>
      <c r="B117" s="40" t="s">
        <v>210</v>
      </c>
    </row>
    <row r="118" spans="1:2">
      <c r="A118" s="44" t="s">
        <v>161</v>
      </c>
      <c r="B118" s="45" t="s">
        <v>151</v>
      </c>
    </row>
    <row r="119" spans="1:2">
      <c r="A119" s="46" t="s">
        <v>162</v>
      </c>
      <c r="B119" s="47" t="s">
        <v>211</v>
      </c>
    </row>
    <row r="120" spans="1:2">
      <c r="A120" s="46" t="s">
        <v>14</v>
      </c>
      <c r="B120" s="48" t="s">
        <v>192</v>
      </c>
    </row>
    <row r="121" spans="1:2">
      <c r="A121" s="46" t="s">
        <v>164</v>
      </c>
      <c r="B121" s="47">
        <v>4</v>
      </c>
    </row>
    <row r="122" spans="1:2">
      <c r="A122" s="46" t="s">
        <v>165</v>
      </c>
      <c r="B122" s="47" t="s">
        <v>166</v>
      </c>
    </row>
    <row r="123" spans="1:2">
      <c r="A123" s="46" t="s">
        <v>167</v>
      </c>
      <c r="B123" s="47" t="s">
        <v>212</v>
      </c>
    </row>
    <row r="124" spans="1:2">
      <c r="A124" s="46" t="s">
        <v>169</v>
      </c>
      <c r="B124" s="47">
        <v>1.57</v>
      </c>
    </row>
    <row r="125" spans="1:2">
      <c r="A125" s="46" t="s">
        <v>170</v>
      </c>
      <c r="B125" s="49">
        <v>10.89</v>
      </c>
    </row>
    <row r="126" spans="1:2">
      <c r="A126" s="50" t="s">
        <v>171</v>
      </c>
      <c r="B126" s="51">
        <f>1/B125</f>
        <v>9.1827364554637275E-2</v>
      </c>
    </row>
    <row r="127" spans="1:2">
      <c r="A127" s="52" t="s">
        <v>172</v>
      </c>
      <c r="B127" s="53">
        <f>B121*B126</f>
        <v>0.3673094582185491</v>
      </c>
    </row>
  </sheetData>
  <mergeCells count="1">
    <mergeCell ref="H2:I2"/>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tabSelected="1" workbookViewId="0">
      <selection activeCell="E21" sqref="E21"/>
    </sheetView>
  </sheetViews>
  <sheetFormatPr baseColWidth="10" defaultRowHeight="15"/>
  <cols>
    <col min="2" max="2" width="14.85546875" customWidth="1"/>
    <col min="3" max="3" width="13.7109375" customWidth="1"/>
    <col min="4" max="4" width="15.140625" customWidth="1"/>
    <col min="5" max="5" width="16.140625" customWidth="1"/>
    <col min="6" max="6" width="16.28515625" customWidth="1"/>
  </cols>
  <sheetData>
    <row r="1" spans="2:6" ht="15.75" thickBot="1"/>
    <row r="2" spans="2:6" ht="45">
      <c r="B2" s="137" t="s">
        <v>253</v>
      </c>
      <c r="C2" s="138" t="s">
        <v>254</v>
      </c>
      <c r="D2" s="138" t="s">
        <v>234</v>
      </c>
      <c r="E2" s="138" t="s">
        <v>233</v>
      </c>
      <c r="F2" s="139" t="s">
        <v>232</v>
      </c>
    </row>
    <row r="3" spans="2:6" ht="15.75" thickBot="1">
      <c r="B3" s="113">
        <v>1</v>
      </c>
      <c r="C3" s="79">
        <v>1</v>
      </c>
      <c r="D3" s="79">
        <v>2.7</v>
      </c>
      <c r="E3" s="79">
        <v>300</v>
      </c>
      <c r="F3" s="114">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E13" sqref="E13"/>
    </sheetView>
  </sheetViews>
  <sheetFormatPr baseColWidth="10" defaultRowHeight="15"/>
  <cols>
    <col min="5" max="5" width="19.140625" customWidth="1"/>
    <col min="6" max="6" width="13.85546875" customWidth="1"/>
  </cols>
  <sheetData>
    <row r="1" spans="2:7" ht="15.75" thickBot="1"/>
    <row r="2" spans="2:7" ht="37.5" customHeight="1">
      <c r="B2" s="134" t="s">
        <v>237</v>
      </c>
      <c r="C2" s="135" t="s">
        <v>238</v>
      </c>
      <c r="D2" s="135" t="s">
        <v>239</v>
      </c>
      <c r="E2" s="135" t="s">
        <v>240</v>
      </c>
      <c r="F2" s="135" t="s">
        <v>241</v>
      </c>
      <c r="G2" s="136" t="s">
        <v>235</v>
      </c>
    </row>
    <row r="3" spans="2:7" ht="15.75" thickBot="1">
      <c r="B3" s="123">
        <v>0</v>
      </c>
      <c r="C3" s="89">
        <v>0</v>
      </c>
      <c r="D3" s="89">
        <v>0</v>
      </c>
      <c r="E3" s="89">
        <v>90</v>
      </c>
      <c r="F3" s="89">
        <v>90</v>
      </c>
      <c r="G3" s="91">
        <v>600</v>
      </c>
    </row>
    <row r="5" spans="2:7">
      <c r="B5" s="1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L32"/>
  <sheetViews>
    <sheetView workbookViewId="0">
      <selection activeCell="J22" sqref="J22"/>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2" ht="15.75" thickBot="1"/>
    <row r="2" spans="2:12" ht="46.5" customHeight="1" thickBot="1">
      <c r="B2" s="130" t="s">
        <v>221</v>
      </c>
      <c r="C2" s="131" t="s">
        <v>215</v>
      </c>
      <c r="D2" s="132" t="s">
        <v>216</v>
      </c>
      <c r="E2" s="132" t="s">
        <v>242</v>
      </c>
      <c r="F2" s="132" t="s">
        <v>217</v>
      </c>
      <c r="G2" s="132" t="s">
        <v>213</v>
      </c>
      <c r="H2" s="132" t="s">
        <v>214</v>
      </c>
      <c r="I2" s="132" t="s">
        <v>218</v>
      </c>
      <c r="J2" s="132" t="s">
        <v>219</v>
      </c>
      <c r="K2" s="132" t="s">
        <v>220</v>
      </c>
      <c r="L2" s="133" t="s">
        <v>231</v>
      </c>
    </row>
    <row r="3" spans="2:12">
      <c r="B3" s="97" t="s">
        <v>278</v>
      </c>
      <c r="C3" s="94">
        <v>4.0280000000000003E-2</v>
      </c>
      <c r="D3" s="92">
        <v>800</v>
      </c>
      <c r="E3" s="92"/>
      <c r="F3" s="155">
        <v>4.1389E-3</v>
      </c>
      <c r="G3" s="156">
        <v>0.25</v>
      </c>
      <c r="H3" s="156">
        <v>0.25</v>
      </c>
      <c r="I3" s="92">
        <v>1</v>
      </c>
      <c r="J3" s="92">
        <v>0</v>
      </c>
      <c r="K3" s="92">
        <v>0</v>
      </c>
      <c r="L3" s="93">
        <v>1</v>
      </c>
    </row>
    <row r="4" spans="2:12">
      <c r="B4" s="97" t="s">
        <v>33</v>
      </c>
      <c r="C4" s="95">
        <v>4.0280000000000003E-2</v>
      </c>
      <c r="D4" s="88">
        <v>800</v>
      </c>
      <c r="E4" s="88"/>
      <c r="F4" s="155">
        <v>4.1389E-3</v>
      </c>
      <c r="G4" s="156">
        <v>0.25</v>
      </c>
      <c r="H4" s="156">
        <v>0.25</v>
      </c>
      <c r="I4" s="88">
        <v>-1</v>
      </c>
      <c r="J4" s="88">
        <v>0</v>
      </c>
      <c r="K4" s="88">
        <v>0</v>
      </c>
      <c r="L4" s="90">
        <v>1</v>
      </c>
    </row>
    <row r="5" spans="2:12">
      <c r="B5" s="97" t="s">
        <v>37</v>
      </c>
      <c r="C5" s="95">
        <v>7.2909999999999997E-3</v>
      </c>
      <c r="D5" s="88">
        <v>800</v>
      </c>
      <c r="E5" s="88"/>
      <c r="F5" s="156">
        <v>0</v>
      </c>
      <c r="G5" s="156">
        <v>0.25</v>
      </c>
      <c r="H5" s="156">
        <v>0.25</v>
      </c>
      <c r="I5" s="88">
        <v>0</v>
      </c>
      <c r="J5" s="88">
        <v>-0.70709999999999995</v>
      </c>
      <c r="K5" s="88">
        <v>0.70709999999999995</v>
      </c>
      <c r="L5" s="90">
        <v>0</v>
      </c>
    </row>
    <row r="6" spans="2:12">
      <c r="B6" s="97" t="s">
        <v>42</v>
      </c>
      <c r="C6" s="95">
        <v>7.2909999999999997E-3</v>
      </c>
      <c r="D6" s="88">
        <v>800</v>
      </c>
      <c r="E6" s="88"/>
      <c r="F6" s="156">
        <v>0</v>
      </c>
      <c r="G6" s="156">
        <v>0.25</v>
      </c>
      <c r="H6" s="156">
        <v>0.25</v>
      </c>
      <c r="I6" s="88">
        <v>0</v>
      </c>
      <c r="J6" s="88">
        <v>0.70709999999999995</v>
      </c>
      <c r="K6" s="88">
        <v>0.70709999999999995</v>
      </c>
      <c r="L6" s="90">
        <v>0</v>
      </c>
    </row>
    <row r="7" spans="2:12">
      <c r="B7" s="97" t="s">
        <v>47</v>
      </c>
      <c r="C7" s="95">
        <v>6.4250000000000002E-3</v>
      </c>
      <c r="D7" s="88">
        <v>800</v>
      </c>
      <c r="E7" s="88"/>
      <c r="F7" s="156">
        <v>0</v>
      </c>
      <c r="G7" s="156">
        <v>0.25</v>
      </c>
      <c r="H7" s="156">
        <v>0.25</v>
      </c>
      <c r="I7" s="88">
        <v>0</v>
      </c>
      <c r="J7" s="88">
        <v>0.70709999999999995</v>
      </c>
      <c r="K7" s="88">
        <v>-0.70709999999999995</v>
      </c>
      <c r="L7" s="90">
        <v>0</v>
      </c>
    </row>
    <row r="8" spans="2:12">
      <c r="B8" s="97" t="s">
        <v>52</v>
      </c>
      <c r="C8" s="95">
        <v>6.4250000000000002E-3</v>
      </c>
      <c r="D8" s="88">
        <v>800</v>
      </c>
      <c r="E8" s="88"/>
      <c r="F8" s="156">
        <v>0</v>
      </c>
      <c r="G8" s="156">
        <v>0.25</v>
      </c>
      <c r="H8" s="156">
        <v>0.25</v>
      </c>
      <c r="I8" s="88">
        <v>0</v>
      </c>
      <c r="J8" s="88">
        <v>-0.70709999999999995</v>
      </c>
      <c r="K8" s="88">
        <v>-0.70709999999999995</v>
      </c>
      <c r="L8" s="90">
        <v>0</v>
      </c>
    </row>
    <row r="9" spans="2:12">
      <c r="B9" s="97" t="s">
        <v>57</v>
      </c>
      <c r="C9" s="95">
        <v>2.1919999999999999E-2</v>
      </c>
      <c r="D9" s="88">
        <v>800</v>
      </c>
      <c r="E9" s="88"/>
      <c r="F9" s="155">
        <v>6.8542999999999998E-3</v>
      </c>
      <c r="G9" s="156">
        <v>0.25</v>
      </c>
      <c r="H9" s="156">
        <v>0.25</v>
      </c>
      <c r="I9" s="88">
        <v>0</v>
      </c>
      <c r="J9" s="88">
        <v>0</v>
      </c>
      <c r="K9" s="88">
        <v>1</v>
      </c>
      <c r="L9" s="90">
        <v>1</v>
      </c>
    </row>
    <row r="10" spans="2:12">
      <c r="B10" s="97" t="s">
        <v>62</v>
      </c>
      <c r="C10" s="95">
        <v>1.8E-3</v>
      </c>
      <c r="D10" s="88">
        <v>800</v>
      </c>
      <c r="E10" s="88"/>
      <c r="F10" s="155">
        <v>7.0522E-4</v>
      </c>
      <c r="G10" s="156">
        <v>0.8</v>
      </c>
      <c r="H10" s="156">
        <v>0.8</v>
      </c>
      <c r="I10" s="88">
        <v>0</v>
      </c>
      <c r="J10" s="88">
        <v>0</v>
      </c>
      <c r="K10" s="88">
        <v>1</v>
      </c>
      <c r="L10" s="90">
        <v>1</v>
      </c>
    </row>
    <row r="11" spans="2:12">
      <c r="B11" s="97" t="s">
        <v>68</v>
      </c>
      <c r="C11" s="95">
        <v>1.8E-3</v>
      </c>
      <c r="D11" s="88">
        <v>800</v>
      </c>
      <c r="E11" s="88"/>
      <c r="F11" s="155">
        <v>7.0522E-4</v>
      </c>
      <c r="G11" s="156">
        <v>0.8</v>
      </c>
      <c r="H11" s="156">
        <v>0.8</v>
      </c>
      <c r="I11" s="88">
        <v>0</v>
      </c>
      <c r="J11" s="88">
        <v>0</v>
      </c>
      <c r="K11" s="88">
        <v>1</v>
      </c>
      <c r="L11" s="90">
        <v>1</v>
      </c>
    </row>
    <row r="12" spans="2:12">
      <c r="B12" s="97" t="s">
        <v>70</v>
      </c>
      <c r="C12" s="95">
        <v>1.8E-3</v>
      </c>
      <c r="D12" s="88">
        <v>800</v>
      </c>
      <c r="E12" s="88"/>
      <c r="F12" s="155">
        <v>7.0522E-4</v>
      </c>
      <c r="G12" s="156">
        <v>0.8</v>
      </c>
      <c r="H12" s="156">
        <v>0.8</v>
      </c>
      <c r="I12" s="88">
        <v>0</v>
      </c>
      <c r="J12" s="88">
        <v>0</v>
      </c>
      <c r="K12" s="88">
        <v>1</v>
      </c>
      <c r="L12" s="90">
        <v>1</v>
      </c>
    </row>
    <row r="13" spans="2:12">
      <c r="B13" s="97" t="s">
        <v>72</v>
      </c>
      <c r="C13" s="95">
        <v>1.8E-3</v>
      </c>
      <c r="D13" s="88">
        <v>800</v>
      </c>
      <c r="E13" s="88"/>
      <c r="F13" s="155">
        <v>7.0522E-4</v>
      </c>
      <c r="G13" s="156">
        <v>0.8</v>
      </c>
      <c r="H13" s="156">
        <v>0.8</v>
      </c>
      <c r="I13" s="88">
        <v>0</v>
      </c>
      <c r="J13" s="88">
        <v>0</v>
      </c>
      <c r="K13" s="88">
        <v>1</v>
      </c>
      <c r="L13" s="90">
        <v>1</v>
      </c>
    </row>
    <row r="14" spans="2:12">
      <c r="B14" s="97" t="s">
        <v>279</v>
      </c>
      <c r="C14" s="95">
        <v>2.375E-2</v>
      </c>
      <c r="D14" s="88">
        <v>600</v>
      </c>
      <c r="E14" s="88"/>
      <c r="F14" s="155">
        <v>1.3284E-3</v>
      </c>
      <c r="G14" s="156">
        <v>0.85</v>
      </c>
      <c r="H14" s="156">
        <v>0.85</v>
      </c>
      <c r="I14" s="88">
        <v>0</v>
      </c>
      <c r="J14" s="88">
        <v>0</v>
      </c>
      <c r="K14" s="88">
        <v>-1</v>
      </c>
      <c r="L14" s="90">
        <v>1</v>
      </c>
    </row>
    <row r="15" spans="2:12">
      <c r="B15" s="97" t="s">
        <v>280</v>
      </c>
      <c r="C15" s="95">
        <v>0.125</v>
      </c>
      <c r="D15" s="88">
        <v>800</v>
      </c>
      <c r="E15" s="88"/>
      <c r="F15" s="155">
        <v>8.2383000000000005E-3</v>
      </c>
      <c r="G15" s="156">
        <v>0.8</v>
      </c>
      <c r="H15" s="156">
        <v>0.8</v>
      </c>
      <c r="I15" s="88">
        <v>0</v>
      </c>
      <c r="J15" s="88">
        <v>1</v>
      </c>
      <c r="K15" s="88">
        <v>0</v>
      </c>
      <c r="L15" s="90">
        <v>1</v>
      </c>
    </row>
    <row r="16" spans="2:12">
      <c r="B16" s="97" t="s">
        <v>285</v>
      </c>
      <c r="C16" s="95">
        <v>3.9E-2</v>
      </c>
      <c r="D16" s="88">
        <v>600</v>
      </c>
      <c r="E16" s="88"/>
      <c r="F16" s="155">
        <v>8.2383000000000005E-3</v>
      </c>
      <c r="G16" s="156">
        <v>0.8</v>
      </c>
      <c r="H16" s="156">
        <v>0.8</v>
      </c>
      <c r="I16" s="88">
        <v>0</v>
      </c>
      <c r="J16" s="88">
        <v>-1</v>
      </c>
      <c r="K16" s="88">
        <v>0</v>
      </c>
      <c r="L16" s="90">
        <v>1</v>
      </c>
    </row>
    <row r="17" spans="2:12">
      <c r="B17" s="97" t="s">
        <v>282</v>
      </c>
      <c r="C17" s="95">
        <v>3.9E-2</v>
      </c>
      <c r="D17" s="88">
        <v>600</v>
      </c>
      <c r="E17" s="88"/>
      <c r="F17" s="155">
        <v>8.2383000000000005E-3</v>
      </c>
      <c r="G17" s="156">
        <v>0.8</v>
      </c>
      <c r="H17" s="156">
        <v>0.8</v>
      </c>
      <c r="I17" s="88">
        <v>1</v>
      </c>
      <c r="J17" s="88">
        <v>0</v>
      </c>
      <c r="K17" s="88">
        <v>1</v>
      </c>
      <c r="L17" s="90">
        <v>1</v>
      </c>
    </row>
    <row r="18" spans="2:12">
      <c r="B18" s="97" t="s">
        <v>283</v>
      </c>
      <c r="C18" s="95">
        <v>3.9E-2</v>
      </c>
      <c r="D18" s="88">
        <v>600</v>
      </c>
      <c r="E18" s="88"/>
      <c r="F18" s="155">
        <v>8.2383000000000005E-3</v>
      </c>
      <c r="G18" s="156">
        <v>0.8</v>
      </c>
      <c r="H18" s="156">
        <v>0.8</v>
      </c>
      <c r="I18" s="88">
        <v>-1</v>
      </c>
      <c r="J18" s="88">
        <v>0</v>
      </c>
      <c r="K18" s="88">
        <v>1</v>
      </c>
      <c r="L18" s="90">
        <v>1</v>
      </c>
    </row>
    <row r="19" spans="2:12">
      <c r="B19" s="97" t="s">
        <v>284</v>
      </c>
      <c r="C19" s="95">
        <v>3.9E-2</v>
      </c>
      <c r="D19" s="88">
        <v>600</v>
      </c>
      <c r="E19" s="88"/>
      <c r="F19" s="155">
        <v>9.8408000000000002E-3</v>
      </c>
      <c r="G19" s="156">
        <v>0.8</v>
      </c>
      <c r="H19" s="156">
        <v>0.8</v>
      </c>
      <c r="I19" s="88">
        <v>0</v>
      </c>
      <c r="J19" s="88">
        <v>0</v>
      </c>
      <c r="K19" s="88">
        <v>-1</v>
      </c>
      <c r="L19" s="90">
        <v>1</v>
      </c>
    </row>
    <row r="20" spans="2:12">
      <c r="B20" s="97"/>
      <c r="C20" s="95"/>
      <c r="D20" s="88"/>
      <c r="E20" s="88"/>
      <c r="F20" s="88"/>
      <c r="G20" s="88"/>
      <c r="H20" s="88"/>
      <c r="I20" s="88"/>
      <c r="J20" s="88"/>
      <c r="K20" s="88"/>
      <c r="L20" s="90"/>
    </row>
    <row r="21" spans="2:12">
      <c r="B21" s="97"/>
      <c r="C21" s="95"/>
      <c r="D21" s="88"/>
      <c r="E21" s="88"/>
      <c r="F21" s="88"/>
      <c r="G21" s="88"/>
      <c r="H21" s="88"/>
      <c r="I21" s="88"/>
      <c r="J21" s="88"/>
      <c r="K21" s="88"/>
      <c r="L21" s="90"/>
    </row>
    <row r="22" spans="2:12">
      <c r="B22" s="97"/>
      <c r="C22" s="95"/>
      <c r="D22" s="88"/>
      <c r="E22" s="88"/>
      <c r="F22" s="88"/>
      <c r="G22" s="88"/>
      <c r="H22" s="88"/>
      <c r="I22" s="88"/>
      <c r="J22" s="88"/>
      <c r="K22" s="88"/>
      <c r="L22" s="90"/>
    </row>
    <row r="23" spans="2:12">
      <c r="B23" s="97"/>
      <c r="C23" s="95"/>
      <c r="D23" s="88"/>
      <c r="E23" s="88"/>
      <c r="F23" s="88"/>
      <c r="G23" s="88"/>
      <c r="H23" s="88"/>
      <c r="I23" s="88"/>
      <c r="J23" s="88"/>
      <c r="K23" s="88"/>
      <c r="L23" s="90"/>
    </row>
    <row r="24" spans="2:12">
      <c r="B24" s="97"/>
      <c r="C24" s="95"/>
      <c r="D24" s="88"/>
      <c r="E24" s="88"/>
      <c r="F24" s="88"/>
      <c r="G24" s="88"/>
      <c r="H24" s="88"/>
      <c r="I24" s="88"/>
      <c r="J24" s="88"/>
      <c r="K24" s="88"/>
      <c r="L24" s="90"/>
    </row>
    <row r="25" spans="2:12">
      <c r="B25" s="97"/>
      <c r="C25" s="95"/>
      <c r="D25" s="88"/>
      <c r="E25" s="88"/>
      <c r="F25" s="88"/>
      <c r="G25" s="88"/>
      <c r="H25" s="88"/>
      <c r="I25" s="88"/>
      <c r="J25" s="88"/>
      <c r="K25" s="88"/>
      <c r="L25" s="90"/>
    </row>
    <row r="26" spans="2:12">
      <c r="B26" s="97"/>
      <c r="C26" s="95"/>
      <c r="D26" s="88"/>
      <c r="E26" s="88"/>
      <c r="F26" s="88"/>
      <c r="G26" s="88"/>
      <c r="H26" s="88"/>
      <c r="I26" s="88"/>
      <c r="J26" s="88"/>
      <c r="K26" s="88"/>
      <c r="L26" s="90"/>
    </row>
    <row r="27" spans="2:12">
      <c r="B27" s="97"/>
      <c r="C27" s="95"/>
      <c r="D27" s="88"/>
      <c r="E27" s="88"/>
      <c r="F27" s="88"/>
      <c r="G27" s="88"/>
      <c r="H27" s="88"/>
      <c r="I27" s="88"/>
      <c r="J27" s="88"/>
      <c r="K27" s="88"/>
      <c r="L27" s="90"/>
    </row>
    <row r="28" spans="2:12">
      <c r="B28" s="97"/>
      <c r="C28" s="95"/>
      <c r="D28" s="88"/>
      <c r="E28" s="88"/>
      <c r="F28" s="88"/>
      <c r="G28" s="88"/>
      <c r="H28" s="88"/>
      <c r="I28" s="88"/>
      <c r="J28" s="88"/>
      <c r="K28" s="88"/>
      <c r="L28" s="90"/>
    </row>
    <row r="29" spans="2:12">
      <c r="B29" s="97"/>
      <c r="C29" s="95"/>
      <c r="D29" s="88"/>
      <c r="E29" s="88"/>
      <c r="F29" s="88"/>
      <c r="G29" s="88"/>
      <c r="H29" s="88"/>
      <c r="I29" s="88"/>
      <c r="J29" s="88"/>
      <c r="K29" s="88"/>
      <c r="L29" s="90"/>
    </row>
    <row r="30" spans="2:12">
      <c r="B30" s="97"/>
      <c r="C30" s="95"/>
      <c r="D30" s="88"/>
      <c r="E30" s="88"/>
      <c r="F30" s="88"/>
      <c r="G30" s="88"/>
      <c r="H30" s="88"/>
      <c r="I30" s="88"/>
      <c r="J30" s="88"/>
      <c r="K30" s="88"/>
      <c r="L30" s="90"/>
    </row>
    <row r="31" spans="2:12" ht="15.75" thickBot="1">
      <c r="B31" s="98"/>
      <c r="C31" s="96"/>
      <c r="D31" s="89"/>
      <c r="E31" s="89"/>
      <c r="F31" s="89"/>
      <c r="G31" s="89"/>
      <c r="H31" s="89"/>
      <c r="I31" s="89"/>
      <c r="J31" s="89"/>
      <c r="K31" s="89"/>
      <c r="L31" s="91"/>
    </row>
    <row r="32" spans="2:12">
      <c r="B32" s="7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workbookViewId="0">
      <selection activeCell="H5" sqref="H5"/>
    </sheetView>
  </sheetViews>
  <sheetFormatPr baseColWidth="10" defaultRowHeight="15"/>
  <cols>
    <col min="2" max="2" width="32" bestFit="1" customWidth="1"/>
  </cols>
  <sheetData>
    <row r="1" spans="1:14" ht="15.75" thickBot="1"/>
    <row r="2" spans="1:14" ht="15.75" thickBot="1">
      <c r="B2" s="142" t="s">
        <v>226</v>
      </c>
      <c r="C2" s="191" t="s">
        <v>229</v>
      </c>
      <c r="D2" s="120" t="s">
        <v>228</v>
      </c>
      <c r="E2" s="120" t="s">
        <v>227</v>
      </c>
      <c r="F2" s="121" t="s">
        <v>229</v>
      </c>
      <c r="G2" s="103"/>
    </row>
    <row r="3" spans="1:14">
      <c r="B3" s="143" t="s">
        <v>222</v>
      </c>
      <c r="C3" s="81">
        <f>IFERROR(C4+C5*60+C6*3600+C7*3600*24+B3,C4+C5*60+C6*3600+C7*3600*24)</f>
        <v>259200</v>
      </c>
      <c r="D3" s="81">
        <f t="shared" ref="D3:F3" si="0">IFERROR(D4+D5*60+D6*3600+D7*3600*24+C3,D4+D5*60+D6*3600+D7*3600*24)</f>
        <v>259200</v>
      </c>
      <c r="E3" s="81">
        <f t="shared" si="0"/>
        <v>259200</v>
      </c>
      <c r="F3" s="81">
        <f t="shared" si="0"/>
        <v>259200</v>
      </c>
      <c r="G3" s="83"/>
      <c r="H3" s="75"/>
      <c r="I3" s="75"/>
      <c r="J3" s="75"/>
      <c r="K3" s="75"/>
      <c r="L3" s="75"/>
      <c r="M3" s="75"/>
      <c r="N3" s="75"/>
    </row>
    <row r="4" spans="1:14">
      <c r="B4" s="144" t="s">
        <v>225</v>
      </c>
      <c r="C4" s="80"/>
      <c r="D4" s="78"/>
      <c r="E4" s="77"/>
      <c r="F4" s="82"/>
      <c r="G4" s="83"/>
    </row>
    <row r="5" spans="1:14">
      <c r="B5" s="144" t="s">
        <v>224</v>
      </c>
      <c r="C5" s="80"/>
      <c r="D5" s="78"/>
      <c r="E5" s="77">
        <v>0</v>
      </c>
      <c r="F5" s="82"/>
      <c r="G5" s="83"/>
    </row>
    <row r="6" spans="1:14">
      <c r="B6" s="144" t="s">
        <v>223</v>
      </c>
      <c r="C6" s="119">
        <v>0</v>
      </c>
      <c r="D6" s="78">
        <v>0</v>
      </c>
      <c r="E6" s="77"/>
      <c r="F6" s="82">
        <v>0</v>
      </c>
      <c r="G6" s="83"/>
    </row>
    <row r="7" spans="1:14">
      <c r="B7" s="145" t="s">
        <v>230</v>
      </c>
      <c r="C7" s="99">
        <v>3</v>
      </c>
      <c r="D7" s="100"/>
      <c r="E7" s="101"/>
      <c r="F7" s="102"/>
      <c r="G7" s="83"/>
    </row>
    <row r="8" spans="1:14">
      <c r="A8" s="76">
        <v>1</v>
      </c>
      <c r="B8" s="84" t="str">
        <f>HLOOKUP(B$2,Modes!$B$2:$E$31,$A8+1)</f>
        <v>'Frame 1, +X'</v>
      </c>
      <c r="C8" s="85">
        <f>HLOOKUP(C$2,Modes!$B$2:$O$31,$A8+1,FALSE)</f>
        <v>0</v>
      </c>
      <c r="D8" s="85">
        <f>HLOOKUP(D$2,Modes!$B$2:$O$31,$A8+1,FALSE)</f>
        <v>0</v>
      </c>
      <c r="E8" s="85">
        <f>HLOOKUP(E$2,Modes!$B$2:$O$31,$A8+1,FALSE)</f>
        <v>0</v>
      </c>
      <c r="F8" s="85">
        <f>HLOOKUP(F$2,Modes!$B$2:$O$31,$A8+1,FALSE)</f>
        <v>0</v>
      </c>
      <c r="G8" s="86"/>
      <c r="H8" s="86"/>
      <c r="I8" s="86"/>
      <c r="J8" s="86"/>
      <c r="K8" s="86"/>
    </row>
    <row r="9" spans="1:14">
      <c r="A9" s="76">
        <v>2</v>
      </c>
      <c r="B9" s="84" t="str">
        <f>HLOOKUP(B$2,Modes!$B$2:$E$31,$A9+1)</f>
        <v>'Frame 2, -X'</v>
      </c>
      <c r="C9" s="85">
        <f>HLOOKUP(C$2,Modes!$B$2:$O$31,$A9+1,FALSE)</f>
        <v>0</v>
      </c>
      <c r="D9" s="85">
        <f>HLOOKUP(D$2,Modes!$B$2:$O$31,$A9+1,FALSE)</f>
        <v>0</v>
      </c>
      <c r="E9" s="85">
        <f>HLOOKUP(E$2,Modes!$B$2:$O$31,$A9+1,FALSE)</f>
        <v>0</v>
      </c>
      <c r="F9" s="85">
        <f>HLOOKUP(F$2,Modes!$B$2:$O$31,$A9+1,FALSE)</f>
        <v>0</v>
      </c>
      <c r="G9" s="86"/>
      <c r="H9" s="86"/>
      <c r="I9" s="86"/>
      <c r="J9" s="86"/>
      <c r="K9" s="86"/>
    </row>
    <row r="10" spans="1:14">
      <c r="A10" s="76">
        <v>3</v>
      </c>
      <c r="B10" s="84" t="str">
        <f>HLOOKUP(B$2,Modes!$B$2:$E$31,$A10+1)</f>
        <v>'Beam -Y +Z'</v>
      </c>
      <c r="C10" s="85">
        <f>HLOOKUP(C$2,Modes!$B$2:$O$31,$A10+1,FALSE)</f>
        <v>0</v>
      </c>
      <c r="D10" s="85">
        <f>HLOOKUP(D$2,Modes!$B$2:$O$31,$A10+1,FALSE)</f>
        <v>0</v>
      </c>
      <c r="E10" s="85">
        <f>HLOOKUP(E$2,Modes!$B$2:$O$31,$A10+1,FALSE)</f>
        <v>0</v>
      </c>
      <c r="F10" s="85">
        <f>HLOOKUP(F$2,Modes!$B$2:$O$31,$A10+1,FALSE)</f>
        <v>0</v>
      </c>
      <c r="G10" s="86"/>
      <c r="H10" s="86"/>
      <c r="I10" s="86"/>
      <c r="J10" s="86"/>
      <c r="K10" s="86"/>
    </row>
    <row r="11" spans="1:14">
      <c r="A11" s="76">
        <v>4</v>
      </c>
      <c r="B11" s="84" t="str">
        <f>HLOOKUP(B$2,Modes!$B$2:$E$31,$A11+1)</f>
        <v>'Beam +Y +Z'</v>
      </c>
      <c r="C11" s="85">
        <f>HLOOKUP(C$2,Modes!$B$2:$O$31,$A11+1,FALSE)</f>
        <v>0</v>
      </c>
      <c r="D11" s="85">
        <f>HLOOKUP(D$2,Modes!$B$2:$O$31,$A11+1,FALSE)</f>
        <v>0</v>
      </c>
      <c r="E11" s="85">
        <f>HLOOKUP(E$2,Modes!$B$2:$O$31,$A11+1,FALSE)</f>
        <v>0</v>
      </c>
      <c r="F11" s="85">
        <f>HLOOKUP(F$2,Modes!$B$2:$O$31,$A11+1,FALSE)</f>
        <v>0</v>
      </c>
      <c r="G11" s="86"/>
      <c r="H11" s="86"/>
      <c r="I11" s="86"/>
      <c r="J11" s="86"/>
      <c r="K11" s="86"/>
    </row>
    <row r="12" spans="1:14">
      <c r="A12" s="76">
        <v>5</v>
      </c>
      <c r="B12" s="84" t="str">
        <f>HLOOKUP(B$2,Modes!$B$2:$E$31,$A12+1)</f>
        <v>'Beam +Y -Z'</v>
      </c>
      <c r="C12" s="85">
        <f>HLOOKUP(C$2,Modes!$B$2:$O$31,$A12+1,FALSE)</f>
        <v>0</v>
      </c>
      <c r="D12" s="85">
        <f>HLOOKUP(D$2,Modes!$B$2:$O$31,$A12+1,FALSE)</f>
        <v>0</v>
      </c>
      <c r="E12" s="85">
        <f>HLOOKUP(E$2,Modes!$B$2:$O$31,$A12+1,FALSE)</f>
        <v>0</v>
      </c>
      <c r="F12" s="85">
        <f>HLOOKUP(F$2,Modes!$B$2:$O$31,$A12+1,FALSE)</f>
        <v>0</v>
      </c>
      <c r="G12" s="86"/>
      <c r="H12" s="86"/>
      <c r="I12" s="86"/>
      <c r="J12" s="86"/>
      <c r="K12" s="86"/>
    </row>
    <row r="13" spans="1:14">
      <c r="A13" s="76">
        <v>6</v>
      </c>
      <c r="B13" s="84" t="str">
        <f>HLOOKUP(B$2,Modes!$B$2:$E$31,$A13+1)</f>
        <v>'Beam -Y -Z'</v>
      </c>
      <c r="C13" s="85">
        <f>HLOOKUP(C$2,Modes!$B$2:$O$31,$A13+1,FALSE)</f>
        <v>0</v>
      </c>
      <c r="D13" s="85">
        <f>HLOOKUP(D$2,Modes!$B$2:$O$31,$A13+1,FALSE)</f>
        <v>0</v>
      </c>
      <c r="E13" s="85">
        <f>HLOOKUP(E$2,Modes!$B$2:$O$31,$A13+1,FALSE)</f>
        <v>0</v>
      </c>
      <c r="F13" s="85">
        <f>HLOOKUP(F$2,Modes!$B$2:$O$31,$A13+1,FALSE)</f>
        <v>0</v>
      </c>
      <c r="G13" s="86"/>
      <c r="H13" s="86"/>
      <c r="I13" s="86"/>
      <c r="J13" s="86"/>
      <c r="K13" s="86"/>
    </row>
    <row r="14" spans="1:14">
      <c r="A14" s="76">
        <v>7</v>
      </c>
      <c r="B14" s="84" t="str">
        <f>HLOOKUP(B$2,Modes!$B$2:$E$31,$A14+1)</f>
        <v>'panel +Z, payload plate '</v>
      </c>
      <c r="C14" s="85">
        <f>HLOOKUP(C$2,Modes!$B$2:$O$31,$A14+1,FALSE)</f>
        <v>0</v>
      </c>
      <c r="D14" s="85">
        <f>HLOOKUP(D$2,Modes!$B$2:$O$31,$A14+1,FALSE)</f>
        <v>0</v>
      </c>
      <c r="E14" s="85">
        <f>HLOOKUP(E$2,Modes!$B$2:$O$31,$A14+1,FALSE)</f>
        <v>0</v>
      </c>
      <c r="F14" s="85">
        <f>HLOOKUP(F$2,Modes!$B$2:$O$31,$A14+1,FALSE)</f>
        <v>0</v>
      </c>
      <c r="G14" s="86"/>
      <c r="H14" s="86"/>
      <c r="I14" s="86"/>
      <c r="J14" s="86"/>
      <c r="K14" s="86"/>
    </row>
    <row r="15" spans="1:14">
      <c r="A15" s="76">
        <v>8</v>
      </c>
      <c r="B15" s="84" t="str">
        <f>HLOOKUP(B$2,Modes!$B$2:$E$31,$A15+1)</f>
        <v>'LED 1 '</v>
      </c>
      <c r="C15" s="85">
        <f>HLOOKUP(C$2,Modes!$B$2:$O$31,$A15+1,FALSE)</f>
        <v>0</v>
      </c>
      <c r="D15" s="85">
        <f>HLOOKUP(D$2,Modes!$B$2:$O$31,$A15+1,FALSE)</f>
        <v>7.726</v>
      </c>
      <c r="E15" s="85">
        <f>HLOOKUP(E$2,Modes!$B$2:$O$31,$A15+1,FALSE)</f>
        <v>200</v>
      </c>
      <c r="F15" s="85">
        <f>HLOOKUP(F$2,Modes!$B$2:$O$31,$A15+1,FALSE)</f>
        <v>0</v>
      </c>
      <c r="G15" s="86"/>
      <c r="H15" s="86"/>
      <c r="I15" s="86"/>
      <c r="J15" s="86"/>
      <c r="K15" s="86"/>
    </row>
    <row r="16" spans="1:14">
      <c r="A16" s="76">
        <v>9</v>
      </c>
      <c r="B16" s="84" t="str">
        <f>HLOOKUP(B$2,Modes!$B$2:$E$31,$A16+1)</f>
        <v>'LED 2'</v>
      </c>
      <c r="C16" s="85">
        <f>HLOOKUP(C$2,Modes!$B$2:$O$31,$A16+1,FALSE)</f>
        <v>0</v>
      </c>
      <c r="D16" s="85">
        <f>HLOOKUP(D$2,Modes!$B$2:$O$31,$A16+1,FALSE)</f>
        <v>7.726</v>
      </c>
      <c r="E16" s="85">
        <f>HLOOKUP(E$2,Modes!$B$2:$O$31,$A16+1,FALSE)</f>
        <v>200</v>
      </c>
      <c r="F16" s="85">
        <f>HLOOKUP(F$2,Modes!$B$2:$O$31,$A16+1,FALSE)</f>
        <v>0</v>
      </c>
      <c r="G16" s="86"/>
      <c r="H16" s="86"/>
      <c r="I16" s="86"/>
      <c r="J16" s="86"/>
      <c r="K16" s="86"/>
    </row>
    <row r="17" spans="1:11">
      <c r="A17" s="76">
        <v>10</v>
      </c>
      <c r="B17" s="84" t="str">
        <f>HLOOKUP(B$2,Modes!$B$2:$E$31,$A17+1)</f>
        <v>'LED 3'</v>
      </c>
      <c r="C17" s="85">
        <f>HLOOKUP(C$2,Modes!$B$2:$O$31,$A17+1,FALSE)</f>
        <v>0</v>
      </c>
      <c r="D17" s="85">
        <f>HLOOKUP(D$2,Modes!$B$2:$O$31,$A17+1,FALSE)</f>
        <v>7.726</v>
      </c>
      <c r="E17" s="85">
        <f>HLOOKUP(E$2,Modes!$B$2:$O$31,$A17+1,FALSE)</f>
        <v>200</v>
      </c>
      <c r="F17" s="85">
        <f>HLOOKUP(F$2,Modes!$B$2:$O$31,$A17+1,FALSE)</f>
        <v>0</v>
      </c>
      <c r="G17" s="86"/>
      <c r="H17" s="86"/>
      <c r="I17" s="86"/>
      <c r="J17" s="86"/>
      <c r="K17" s="86"/>
    </row>
    <row r="18" spans="1:11">
      <c r="A18" s="76">
        <v>11</v>
      </c>
      <c r="B18" s="84" t="str">
        <f>HLOOKUP(B$2,Modes!$B$2:$E$31,$A18+1)</f>
        <v>'LED 4 '</v>
      </c>
      <c r="C18" s="85">
        <f>HLOOKUP(C$2,Modes!$B$2:$O$31,$A18+1,FALSE)</f>
        <v>0</v>
      </c>
      <c r="D18" s="85">
        <f>HLOOKUP(D$2,Modes!$B$2:$O$31,$A18+1,FALSE)</f>
        <v>7.726</v>
      </c>
      <c r="E18" s="85">
        <f>HLOOKUP(E$2,Modes!$B$2:$O$31,$A18+1,FALSE)</f>
        <v>200</v>
      </c>
      <c r="F18" s="85">
        <f>HLOOKUP(F$2,Modes!$B$2:$O$31,$A18+1,FALSE)</f>
        <v>0</v>
      </c>
      <c r="G18" s="86"/>
      <c r="H18" s="86"/>
      <c r="I18" s="86"/>
      <c r="J18" s="86"/>
      <c r="K18" s="86"/>
    </row>
    <row r="19" spans="1:11">
      <c r="A19" s="76">
        <v>12</v>
      </c>
      <c r="B19" s="84" t="str">
        <f>HLOOKUP(B$2,Modes!$B$2:$E$31,$A19+1)</f>
        <v>Antena module'</v>
      </c>
      <c r="C19" s="85">
        <f>HLOOKUP(C$2,Modes!$B$2:$O$31,$A19+1,FALSE)</f>
        <v>0</v>
      </c>
      <c r="D19" s="85">
        <f>HLOOKUP(D$2,Modes!$B$2:$O$31,$A19+1,FALSE)</f>
        <v>0</v>
      </c>
      <c r="E19" s="85">
        <f>HLOOKUP(E$2,Modes!$B$2:$O$31,$A19+1,FALSE)</f>
        <v>0</v>
      </c>
      <c r="F19" s="85">
        <f>HLOOKUP(F$2,Modes!$B$2:$O$31,$A19+1,FALSE)</f>
        <v>0</v>
      </c>
      <c r="G19" s="86"/>
      <c r="H19" s="86"/>
      <c r="I19" s="86"/>
      <c r="J19" s="86"/>
      <c r="K19" s="86"/>
    </row>
    <row r="20" spans="1:11">
      <c r="A20" s="76">
        <v>13</v>
      </c>
      <c r="B20" s="84" t="str">
        <f>HLOOKUP(B$2,Modes!$B$2:$E$31,$A20+1)</f>
        <v>Solar Panel (Y)'</v>
      </c>
      <c r="C20" s="85">
        <f>HLOOKUP(C$2,Modes!$B$2:$O$31,$A20+1,FALSE)</f>
        <v>0</v>
      </c>
      <c r="D20" s="85">
        <f>HLOOKUP(D$2,Modes!$B$2:$O$31,$A20+1,FALSE)</f>
        <v>0</v>
      </c>
      <c r="E20" s="85">
        <f>HLOOKUP(E$2,Modes!$B$2:$O$31,$A20+1,FALSE)</f>
        <v>0</v>
      </c>
      <c r="F20" s="85">
        <f>HLOOKUP(F$2,Modes!$B$2:$O$31,$A20+1,FALSE)</f>
        <v>0</v>
      </c>
      <c r="G20" s="86"/>
      <c r="H20" s="86"/>
      <c r="I20" s="86"/>
      <c r="J20" s="86"/>
      <c r="K20" s="86"/>
    </row>
    <row r="21" spans="1:11">
      <c r="A21" s="76">
        <v>14</v>
      </c>
      <c r="B21" s="84" t="str">
        <f>HLOOKUP(B$2,Modes!$B$2:$E$31,$A21+1)</f>
        <v>Solar Panel (-Y)'</v>
      </c>
      <c r="C21" s="85">
        <f>HLOOKUP(C$2,Modes!$B$2:$O$31,$A21+1,FALSE)</f>
        <v>0</v>
      </c>
      <c r="D21" s="85">
        <f>HLOOKUP(D$2,Modes!$B$2:$O$31,$A21+1,FALSE)</f>
        <v>0</v>
      </c>
      <c r="E21" s="85">
        <f>HLOOKUP(E$2,Modes!$B$2:$O$31,$A21+1,FALSE)</f>
        <v>0</v>
      </c>
      <c r="F21" s="85">
        <f>HLOOKUP(F$2,Modes!$B$2:$O$31,$A21+1,FALSE)</f>
        <v>0</v>
      </c>
      <c r="G21" s="86"/>
      <c r="H21" s="86"/>
      <c r="I21" s="86"/>
      <c r="J21" s="86"/>
      <c r="K21" s="86"/>
    </row>
    <row r="22" spans="1:11">
      <c r="A22" s="76">
        <v>15</v>
      </c>
      <c r="B22" s="84" t="str">
        <f>HLOOKUP(B$2,Modes!$B$2:$E$31,$A22+1)</f>
        <v>Solar Panel (X)RBF'</v>
      </c>
      <c r="C22" s="85">
        <f>HLOOKUP(C$2,Modes!$B$2:$O$31,$A22+1,FALSE)</f>
        <v>0</v>
      </c>
      <c r="D22" s="85">
        <f>HLOOKUP(D$2,Modes!$B$2:$O$31,$A22+1,FALSE)</f>
        <v>0</v>
      </c>
      <c r="E22" s="85">
        <f>HLOOKUP(E$2,Modes!$B$2:$O$31,$A22+1,FALSE)</f>
        <v>0</v>
      </c>
      <c r="F22" s="85">
        <f>HLOOKUP(F$2,Modes!$B$2:$O$31,$A22+1,FALSE)</f>
        <v>0</v>
      </c>
      <c r="G22" s="86"/>
      <c r="H22" s="86"/>
      <c r="I22" s="86"/>
      <c r="J22" s="86"/>
      <c r="K22" s="86"/>
    </row>
    <row r="23" spans="1:11">
      <c r="A23" s="76">
        <v>16</v>
      </c>
      <c r="B23" s="84" t="str">
        <f>HLOOKUP(B$2,Modes!$B$2:$E$31,$A23+1)</f>
        <v>Solar Panel (-X)'</v>
      </c>
      <c r="C23" s="85">
        <f>HLOOKUP(C$2,Modes!$B$2:$O$31,$A23+1,FALSE)</f>
        <v>0</v>
      </c>
      <c r="D23" s="85">
        <f>HLOOKUP(D$2,Modes!$B$2:$O$31,$A23+1,FALSE)</f>
        <v>0</v>
      </c>
      <c r="E23" s="85">
        <f>HLOOKUP(E$2,Modes!$B$2:$O$31,$A23+1,FALSE)</f>
        <v>0</v>
      </c>
      <c r="F23" s="85">
        <f>HLOOKUP(F$2,Modes!$B$2:$O$31,$A23+1,FALSE)</f>
        <v>0</v>
      </c>
      <c r="G23" s="86"/>
      <c r="H23" s="86"/>
      <c r="I23" s="86"/>
      <c r="J23" s="86"/>
      <c r="K23" s="86"/>
    </row>
    <row r="24" spans="1:11">
      <c r="A24" s="76">
        <v>17</v>
      </c>
      <c r="B24" s="84" t="str">
        <f>HLOOKUP(B$2,Modes!$B$2:$E$31,$A24+1)</f>
        <v>Solar Panel (-Z(antenna))'</v>
      </c>
      <c r="C24" s="85">
        <f>HLOOKUP(C$2,Modes!$B$2:$O$31,$A24+1,FALSE)</f>
        <v>0</v>
      </c>
      <c r="D24" s="85">
        <f>HLOOKUP(D$2,Modes!$B$2:$O$31,$A24+1,FALSE)</f>
        <v>0</v>
      </c>
      <c r="E24" s="85">
        <f>HLOOKUP(E$2,Modes!$B$2:$O$31,$A24+1,FALSE)</f>
        <v>0</v>
      </c>
      <c r="F24" s="85">
        <f>HLOOKUP(F$2,Modes!$B$2:$O$31,$A24+1,FALSE)</f>
        <v>0</v>
      </c>
      <c r="G24" s="86"/>
      <c r="H24" s="86"/>
      <c r="I24" s="86"/>
      <c r="J24" s="86"/>
      <c r="K24" s="86"/>
    </row>
    <row r="25" spans="1:11">
      <c r="A25" s="76"/>
      <c r="B25" s="84"/>
      <c r="C25" s="85"/>
      <c r="D25" s="85"/>
      <c r="E25" s="85"/>
      <c r="F25" s="85"/>
      <c r="G25" s="86"/>
      <c r="H25" s="86"/>
      <c r="I25" s="86"/>
      <c r="J25" s="86"/>
      <c r="K25" s="86"/>
    </row>
    <row r="26" spans="1:11">
      <c r="A26" s="76"/>
      <c r="B26" s="84"/>
      <c r="C26" s="85"/>
      <c r="D26" s="85"/>
      <c r="E26" s="85"/>
      <c r="F26" s="85"/>
      <c r="G26" s="86"/>
      <c r="H26" s="86"/>
      <c r="I26" s="86"/>
      <c r="J26" s="86"/>
      <c r="K26" s="86"/>
    </row>
    <row r="27" spans="1:11">
      <c r="A27" s="76"/>
      <c r="B27" s="84"/>
      <c r="C27" s="85"/>
      <c r="D27" s="85"/>
      <c r="E27" s="85"/>
      <c r="F27" s="85"/>
      <c r="G27" s="86"/>
      <c r="H27" s="86"/>
      <c r="I27" s="86"/>
      <c r="J27" s="86"/>
      <c r="K27" s="86"/>
    </row>
    <row r="28" spans="1:11">
      <c r="A28" s="76"/>
      <c r="B28" s="84"/>
      <c r="C28" s="85"/>
      <c r="D28" s="85"/>
      <c r="E28" s="85"/>
      <c r="F28" s="85"/>
      <c r="G28" s="86"/>
      <c r="H28" s="86"/>
      <c r="I28" s="86"/>
      <c r="J28" s="86"/>
      <c r="K28" s="86"/>
    </row>
    <row r="29" spans="1:11">
      <c r="A29" s="76"/>
      <c r="B29" s="84"/>
      <c r="C29" s="85"/>
      <c r="D29" s="85"/>
      <c r="E29" s="85"/>
      <c r="F29" s="85"/>
      <c r="G29" s="86"/>
      <c r="H29" s="86"/>
      <c r="I29" s="86"/>
      <c r="J29" s="86"/>
      <c r="K29" s="86"/>
    </row>
    <row r="30" spans="1:11">
      <c r="A30" s="76"/>
      <c r="B30" s="84"/>
      <c r="C30" s="85"/>
      <c r="D30" s="85"/>
      <c r="E30" s="85"/>
      <c r="F30" s="85"/>
      <c r="G30" s="86"/>
      <c r="H30" s="86"/>
      <c r="I30" s="86"/>
      <c r="J30" s="86"/>
      <c r="K30" s="86"/>
    </row>
    <row r="31" spans="1:11">
      <c r="A31" s="76"/>
      <c r="B31" s="84"/>
      <c r="C31" s="85"/>
      <c r="D31" s="85"/>
      <c r="E31" s="85"/>
      <c r="F31" s="85"/>
      <c r="G31" s="86"/>
      <c r="H31" s="86"/>
      <c r="I31" s="86"/>
      <c r="J31" s="86"/>
      <c r="K31" s="86"/>
    </row>
    <row r="32" spans="1:11">
      <c r="A32" s="76"/>
      <c r="B32" s="84"/>
      <c r="C32" s="85"/>
      <c r="D32" s="85"/>
      <c r="E32" s="85"/>
      <c r="F32" s="85"/>
      <c r="G32" s="86"/>
      <c r="H32" s="86"/>
      <c r="I32" s="86"/>
      <c r="J32" s="86"/>
      <c r="K32" s="86"/>
    </row>
    <row r="33" spans="1:11">
      <c r="A33" s="76"/>
      <c r="B33" s="84"/>
      <c r="C33" s="85"/>
      <c r="D33" s="85"/>
      <c r="E33" s="85"/>
      <c r="F33" s="85"/>
      <c r="G33" s="86"/>
      <c r="H33" s="86"/>
      <c r="I33" s="86"/>
      <c r="J33" s="86"/>
      <c r="K33" s="86"/>
    </row>
    <row r="34" spans="1:11">
      <c r="A34" s="76"/>
      <c r="B34" s="84"/>
      <c r="C34" s="85"/>
      <c r="D34" s="85"/>
      <c r="E34" s="85"/>
      <c r="F34" s="85"/>
      <c r="G34" s="86"/>
      <c r="H34" s="86"/>
      <c r="I34" s="86"/>
      <c r="J34" s="86"/>
      <c r="K34" s="86"/>
    </row>
    <row r="35" spans="1:11">
      <c r="A35" s="76"/>
      <c r="B35" s="84"/>
      <c r="C35" s="85"/>
      <c r="D35" s="85"/>
      <c r="E35" s="85"/>
      <c r="F35" s="85"/>
      <c r="G35" s="86"/>
      <c r="H35" s="86"/>
      <c r="I35" s="86"/>
      <c r="J35" s="86"/>
      <c r="K35" s="86"/>
    </row>
    <row r="36" spans="1:11" ht="15.75" thickBot="1">
      <c r="A36" s="76"/>
      <c r="B36" s="87"/>
      <c r="C36" s="85"/>
      <c r="D36" s="85"/>
      <c r="E36" s="85"/>
      <c r="F36" s="85"/>
      <c r="G36" s="86"/>
      <c r="H36" s="86"/>
      <c r="I36" s="86"/>
      <c r="J36" s="86"/>
      <c r="K36" s="86"/>
    </row>
    <row r="37" spans="1:11">
      <c r="B37" s="7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E24" sqref="E24"/>
    </sheetView>
  </sheetViews>
  <sheetFormatPr baseColWidth="10" defaultRowHeight="15"/>
  <cols>
    <col min="2" max="2" width="32" bestFit="1" customWidth="1"/>
  </cols>
  <sheetData>
    <row r="1" spans="2:15" ht="15.75" thickBot="1"/>
    <row r="2" spans="2:15" ht="15.75" thickBot="1">
      <c r="B2" s="140" t="s">
        <v>226</v>
      </c>
      <c r="C2" s="104" t="s">
        <v>229</v>
      </c>
      <c r="D2" s="105" t="s">
        <v>227</v>
      </c>
      <c r="E2" s="105" t="s">
        <v>228</v>
      </c>
      <c r="F2" s="106"/>
      <c r="G2" s="106"/>
      <c r="H2" s="106"/>
      <c r="I2" s="106"/>
      <c r="J2" s="106"/>
      <c r="K2" s="106"/>
      <c r="L2" s="106"/>
      <c r="M2" s="106"/>
      <c r="N2" s="106"/>
      <c r="O2" s="107"/>
    </row>
    <row r="3" spans="2:15">
      <c r="B3" s="150" t="s">
        <v>26</v>
      </c>
      <c r="C3" s="108">
        <v>0</v>
      </c>
      <c r="D3" s="109">
        <v>0</v>
      </c>
      <c r="E3" s="109">
        <v>0</v>
      </c>
      <c r="F3" s="109"/>
      <c r="G3" s="109"/>
      <c r="H3" s="109"/>
      <c r="I3" s="109"/>
      <c r="J3" s="109"/>
      <c r="K3" s="109"/>
      <c r="L3" s="109"/>
      <c r="M3" s="109"/>
      <c r="N3" s="109"/>
      <c r="O3" s="110"/>
    </row>
    <row r="4" spans="2:15">
      <c r="B4" s="151" t="s">
        <v>33</v>
      </c>
      <c r="C4" s="111">
        <v>0</v>
      </c>
      <c r="D4" s="78">
        <v>0</v>
      </c>
      <c r="E4" s="78">
        <v>0</v>
      </c>
      <c r="F4" s="78"/>
      <c r="G4" s="78"/>
      <c r="H4" s="78"/>
      <c r="I4" s="78"/>
      <c r="J4" s="78"/>
      <c r="K4" s="78"/>
      <c r="L4" s="78"/>
      <c r="M4" s="78"/>
      <c r="N4" s="78"/>
      <c r="O4" s="112"/>
    </row>
    <row r="5" spans="2:15">
      <c r="B5" s="151" t="s">
        <v>37</v>
      </c>
      <c r="C5" s="111">
        <v>0</v>
      </c>
      <c r="D5" s="78">
        <v>0</v>
      </c>
      <c r="E5" s="78">
        <v>0</v>
      </c>
      <c r="F5" s="78"/>
      <c r="G5" s="78"/>
      <c r="H5" s="78"/>
      <c r="I5" s="78"/>
      <c r="J5" s="78"/>
      <c r="K5" s="78"/>
      <c r="L5" s="78"/>
      <c r="M5" s="78"/>
      <c r="N5" s="78"/>
      <c r="O5" s="112"/>
    </row>
    <row r="6" spans="2:15">
      <c r="B6" s="151" t="s">
        <v>42</v>
      </c>
      <c r="C6" s="111">
        <v>0</v>
      </c>
      <c r="D6" s="78">
        <v>0</v>
      </c>
      <c r="E6" s="78">
        <v>0</v>
      </c>
      <c r="F6" s="78"/>
      <c r="G6" s="78"/>
      <c r="H6" s="78"/>
      <c r="I6" s="78"/>
      <c r="J6" s="78"/>
      <c r="K6" s="78"/>
      <c r="L6" s="78"/>
      <c r="M6" s="78"/>
      <c r="N6" s="78"/>
      <c r="O6" s="112"/>
    </row>
    <row r="7" spans="2:15">
      <c r="B7" s="151" t="s">
        <v>47</v>
      </c>
      <c r="C7" s="111">
        <v>0</v>
      </c>
      <c r="D7" s="78">
        <v>0</v>
      </c>
      <c r="E7" s="78">
        <v>0</v>
      </c>
      <c r="F7" s="78"/>
      <c r="G7" s="78"/>
      <c r="H7" s="78"/>
      <c r="I7" s="78"/>
      <c r="J7" s="78"/>
      <c r="K7" s="78"/>
      <c r="L7" s="78"/>
      <c r="M7" s="78"/>
      <c r="N7" s="78"/>
      <c r="O7" s="112"/>
    </row>
    <row r="8" spans="2:15">
      <c r="B8" s="151" t="s">
        <v>52</v>
      </c>
      <c r="C8" s="111">
        <v>0</v>
      </c>
      <c r="D8" s="78">
        <v>0</v>
      </c>
      <c r="E8" s="78">
        <v>0</v>
      </c>
      <c r="F8" s="78"/>
      <c r="G8" s="78"/>
      <c r="H8" s="78"/>
      <c r="I8" s="78"/>
      <c r="J8" s="78"/>
      <c r="K8" s="78"/>
      <c r="L8" s="78"/>
      <c r="M8" s="78"/>
      <c r="N8" s="78"/>
      <c r="O8" s="112"/>
    </row>
    <row r="9" spans="2:15">
      <c r="B9" s="151" t="s">
        <v>57</v>
      </c>
      <c r="C9" s="111">
        <v>0</v>
      </c>
      <c r="D9" s="78">
        <v>0</v>
      </c>
      <c r="E9" s="78">
        <v>0</v>
      </c>
      <c r="F9" s="78"/>
      <c r="G9" s="78"/>
      <c r="H9" s="78"/>
      <c r="I9" s="78"/>
      <c r="J9" s="78"/>
      <c r="K9" s="78"/>
      <c r="L9" s="78"/>
      <c r="M9" s="78"/>
      <c r="N9" s="78"/>
      <c r="O9" s="112"/>
    </row>
    <row r="10" spans="2:15">
      <c r="B10" s="151" t="s">
        <v>62</v>
      </c>
      <c r="C10" s="111">
        <v>0</v>
      </c>
      <c r="D10" s="78">
        <v>200</v>
      </c>
      <c r="E10" s="78">
        <v>7.726</v>
      </c>
      <c r="F10" s="78"/>
      <c r="G10" s="78"/>
      <c r="H10" s="78"/>
      <c r="I10" s="78"/>
      <c r="J10" s="78"/>
      <c r="K10" s="78"/>
      <c r="L10" s="78"/>
      <c r="M10" s="78"/>
      <c r="N10" s="78"/>
      <c r="O10" s="112"/>
    </row>
    <row r="11" spans="2:15">
      <c r="B11" s="151" t="s">
        <v>68</v>
      </c>
      <c r="C11" s="111">
        <v>0</v>
      </c>
      <c r="D11" s="78">
        <v>200</v>
      </c>
      <c r="E11" s="78">
        <v>7.726</v>
      </c>
      <c r="F11" s="78"/>
      <c r="G11" s="78"/>
      <c r="H11" s="78"/>
      <c r="I11" s="78"/>
      <c r="J11" s="78"/>
      <c r="K11" s="78"/>
      <c r="L11" s="78"/>
      <c r="M11" s="78"/>
      <c r="N11" s="78"/>
      <c r="O11" s="112"/>
    </row>
    <row r="12" spans="2:15">
      <c r="B12" s="151" t="s">
        <v>70</v>
      </c>
      <c r="C12" s="111">
        <v>0</v>
      </c>
      <c r="D12" s="78">
        <v>200</v>
      </c>
      <c r="E12" s="78">
        <v>7.726</v>
      </c>
      <c r="F12" s="78"/>
      <c r="G12" s="78"/>
      <c r="H12" s="78"/>
      <c r="I12" s="78"/>
      <c r="J12" s="78"/>
      <c r="K12" s="78"/>
      <c r="L12" s="78"/>
      <c r="M12" s="78"/>
      <c r="N12" s="78"/>
      <c r="O12" s="112"/>
    </row>
    <row r="13" spans="2:15">
      <c r="B13" s="151" t="s">
        <v>72</v>
      </c>
      <c r="C13" s="111">
        <v>0</v>
      </c>
      <c r="D13" s="78">
        <v>200</v>
      </c>
      <c r="E13" s="78">
        <v>7.726</v>
      </c>
      <c r="F13" s="78"/>
      <c r="G13" s="78"/>
      <c r="H13" s="78"/>
      <c r="I13" s="78"/>
      <c r="J13" s="78"/>
      <c r="K13" s="78"/>
      <c r="L13" s="78"/>
      <c r="M13" s="78"/>
      <c r="N13" s="78"/>
      <c r="O13" s="112"/>
    </row>
    <row r="14" spans="2:15">
      <c r="B14" s="152" t="s">
        <v>279</v>
      </c>
      <c r="C14" s="111">
        <v>0</v>
      </c>
      <c r="D14" s="78">
        <v>0</v>
      </c>
      <c r="E14" s="78">
        <v>0</v>
      </c>
      <c r="F14" s="78"/>
      <c r="G14" s="78"/>
      <c r="H14" s="78"/>
      <c r="I14" s="78"/>
      <c r="J14" s="78"/>
      <c r="K14" s="78"/>
      <c r="L14" s="78"/>
      <c r="M14" s="78"/>
      <c r="N14" s="78"/>
      <c r="O14" s="112"/>
    </row>
    <row r="15" spans="2:15">
      <c r="B15" s="153" t="s">
        <v>280</v>
      </c>
      <c r="C15" s="111">
        <v>0</v>
      </c>
      <c r="D15" s="78">
        <v>0</v>
      </c>
      <c r="E15" s="78">
        <v>0</v>
      </c>
      <c r="F15" s="78"/>
      <c r="G15" s="78"/>
      <c r="H15" s="78"/>
      <c r="I15" s="78"/>
      <c r="J15" s="78"/>
      <c r="K15" s="78"/>
      <c r="L15" s="78"/>
      <c r="M15" s="78"/>
      <c r="N15" s="78"/>
      <c r="O15" s="112"/>
    </row>
    <row r="16" spans="2:15">
      <c r="B16" s="153" t="s">
        <v>281</v>
      </c>
      <c r="C16" s="111">
        <v>0</v>
      </c>
      <c r="D16" s="78">
        <v>0</v>
      </c>
      <c r="E16" s="78">
        <v>0</v>
      </c>
      <c r="F16" s="78"/>
      <c r="G16" s="78"/>
      <c r="H16" s="78"/>
      <c r="I16" s="78"/>
      <c r="J16" s="78"/>
      <c r="K16" s="78"/>
      <c r="L16" s="78"/>
      <c r="M16" s="78"/>
      <c r="N16" s="78"/>
      <c r="O16" s="112"/>
    </row>
    <row r="17" spans="2:15">
      <c r="B17" s="153" t="s">
        <v>282</v>
      </c>
      <c r="C17" s="111">
        <v>0</v>
      </c>
      <c r="D17" s="78">
        <v>0</v>
      </c>
      <c r="E17" s="78">
        <v>0</v>
      </c>
      <c r="F17" s="78"/>
      <c r="G17" s="78"/>
      <c r="H17" s="78"/>
      <c r="I17" s="78"/>
      <c r="J17" s="78"/>
      <c r="K17" s="78"/>
      <c r="L17" s="78"/>
      <c r="M17" s="78"/>
      <c r="N17" s="78"/>
      <c r="O17" s="112"/>
    </row>
    <row r="18" spans="2:15">
      <c r="B18" s="153" t="s">
        <v>283</v>
      </c>
      <c r="C18" s="111">
        <v>0</v>
      </c>
      <c r="D18" s="78">
        <v>0</v>
      </c>
      <c r="E18" s="78">
        <v>0</v>
      </c>
      <c r="F18" s="78"/>
      <c r="G18" s="78"/>
      <c r="H18" s="78"/>
      <c r="I18" s="78"/>
      <c r="J18" s="78"/>
      <c r="K18" s="78"/>
      <c r="L18" s="78"/>
      <c r="M18" s="78"/>
      <c r="N18" s="78"/>
      <c r="O18" s="112"/>
    </row>
    <row r="19" spans="2:15">
      <c r="B19" s="154" t="s">
        <v>284</v>
      </c>
      <c r="C19" s="111">
        <v>0</v>
      </c>
      <c r="D19" s="78">
        <v>0</v>
      </c>
      <c r="E19" s="78">
        <v>0</v>
      </c>
      <c r="F19" s="78"/>
      <c r="G19" s="78"/>
      <c r="H19" s="78"/>
      <c r="I19" s="78"/>
      <c r="J19" s="78"/>
      <c r="K19" s="78"/>
      <c r="L19" s="78"/>
      <c r="M19" s="78"/>
      <c r="N19" s="78"/>
      <c r="O19" s="112"/>
    </row>
    <row r="20" spans="2:15">
      <c r="B20" s="117"/>
      <c r="C20" s="111"/>
      <c r="D20" s="78"/>
      <c r="E20" s="78"/>
      <c r="F20" s="78"/>
      <c r="G20" s="78"/>
      <c r="H20" s="78"/>
      <c r="I20" s="78"/>
      <c r="J20" s="78"/>
      <c r="K20" s="78"/>
      <c r="L20" s="78"/>
      <c r="M20" s="78"/>
      <c r="N20" s="78"/>
      <c r="O20" s="112"/>
    </row>
    <row r="21" spans="2:15">
      <c r="B21" s="117"/>
      <c r="C21" s="111"/>
      <c r="D21" s="78"/>
      <c r="E21" s="78"/>
      <c r="F21" s="78"/>
      <c r="G21" s="78"/>
      <c r="H21" s="78"/>
      <c r="I21" s="78"/>
      <c r="J21" s="78"/>
      <c r="K21" s="78"/>
      <c r="L21" s="78"/>
      <c r="M21" s="78"/>
      <c r="N21" s="78"/>
      <c r="O21" s="112"/>
    </row>
    <row r="22" spans="2:15">
      <c r="B22" s="117"/>
      <c r="C22" s="111"/>
      <c r="D22" s="78"/>
      <c r="E22" s="78"/>
      <c r="F22" s="78"/>
      <c r="G22" s="78"/>
      <c r="H22" s="78"/>
      <c r="I22" s="78"/>
      <c r="J22" s="78"/>
      <c r="K22" s="78"/>
      <c r="L22" s="78"/>
      <c r="M22" s="78"/>
      <c r="N22" s="78"/>
      <c r="O22" s="112"/>
    </row>
    <row r="23" spans="2:15">
      <c r="B23" s="117"/>
      <c r="C23" s="111"/>
      <c r="D23" s="78"/>
      <c r="E23" s="78"/>
      <c r="F23" s="78"/>
      <c r="G23" s="78"/>
      <c r="H23" s="78"/>
      <c r="I23" s="78"/>
      <c r="J23" s="78"/>
      <c r="K23" s="78"/>
      <c r="L23" s="78"/>
      <c r="M23" s="78"/>
      <c r="N23" s="78"/>
      <c r="O23" s="112"/>
    </row>
    <row r="24" spans="2:15">
      <c r="B24" s="117"/>
      <c r="C24" s="111"/>
      <c r="D24" s="78"/>
      <c r="E24" s="78"/>
      <c r="F24" s="78"/>
      <c r="G24" s="78"/>
      <c r="H24" s="78"/>
      <c r="I24" s="78"/>
      <c r="J24" s="78"/>
      <c r="K24" s="78"/>
      <c r="L24" s="78"/>
      <c r="M24" s="78"/>
      <c r="N24" s="78"/>
      <c r="O24" s="112"/>
    </row>
    <row r="25" spans="2:15">
      <c r="B25" s="117"/>
      <c r="C25" s="111"/>
      <c r="D25" s="78"/>
      <c r="E25" s="78"/>
      <c r="F25" s="78"/>
      <c r="G25" s="78"/>
      <c r="H25" s="78"/>
      <c r="I25" s="78"/>
      <c r="J25" s="78"/>
      <c r="K25" s="78"/>
      <c r="L25" s="78"/>
      <c r="M25" s="78"/>
      <c r="N25" s="78"/>
      <c r="O25" s="112"/>
    </row>
    <row r="26" spans="2:15">
      <c r="B26" s="117"/>
      <c r="C26" s="111"/>
      <c r="D26" s="78"/>
      <c r="E26" s="78"/>
      <c r="F26" s="78"/>
      <c r="G26" s="78"/>
      <c r="H26" s="78"/>
      <c r="I26" s="78"/>
      <c r="J26" s="78"/>
      <c r="K26" s="78"/>
      <c r="L26" s="78"/>
      <c r="M26" s="78"/>
      <c r="N26" s="78"/>
      <c r="O26" s="112"/>
    </row>
    <row r="27" spans="2:15">
      <c r="B27" s="117"/>
      <c r="C27" s="111"/>
      <c r="D27" s="78"/>
      <c r="E27" s="78"/>
      <c r="F27" s="78"/>
      <c r="G27" s="78"/>
      <c r="H27" s="78"/>
      <c r="I27" s="78"/>
      <c r="J27" s="78"/>
      <c r="K27" s="78"/>
      <c r="L27" s="78"/>
      <c r="M27" s="78"/>
      <c r="N27" s="78"/>
      <c r="O27" s="112"/>
    </row>
    <row r="28" spans="2:15">
      <c r="B28" s="117"/>
      <c r="C28" s="111"/>
      <c r="D28" s="78"/>
      <c r="E28" s="78"/>
      <c r="F28" s="78"/>
      <c r="G28" s="78"/>
      <c r="H28" s="78"/>
      <c r="I28" s="78"/>
      <c r="J28" s="78"/>
      <c r="K28" s="78"/>
      <c r="L28" s="78"/>
      <c r="M28" s="78"/>
      <c r="N28" s="78"/>
      <c r="O28" s="112"/>
    </row>
    <row r="29" spans="2:15">
      <c r="B29" s="117"/>
      <c r="C29" s="111"/>
      <c r="D29" s="78"/>
      <c r="E29" s="78"/>
      <c r="F29" s="78"/>
      <c r="G29" s="78"/>
      <c r="H29" s="78"/>
      <c r="I29" s="78"/>
      <c r="J29" s="78"/>
      <c r="K29" s="78"/>
      <c r="L29" s="78"/>
      <c r="M29" s="78"/>
      <c r="N29" s="78"/>
      <c r="O29" s="112"/>
    </row>
    <row r="30" spans="2:15">
      <c r="B30" s="117"/>
      <c r="C30" s="111"/>
      <c r="D30" s="78"/>
      <c r="E30" s="78"/>
      <c r="F30" s="78"/>
      <c r="G30" s="78"/>
      <c r="H30" s="78"/>
      <c r="I30" s="78"/>
      <c r="J30" s="78"/>
      <c r="K30" s="78"/>
      <c r="L30" s="78"/>
      <c r="M30" s="78"/>
      <c r="N30" s="78"/>
      <c r="O30" s="112"/>
    </row>
    <row r="31" spans="2:15">
      <c r="B31" s="118"/>
      <c r="C31" s="115"/>
      <c r="D31" s="100"/>
      <c r="E31" s="100"/>
      <c r="F31" s="100"/>
      <c r="G31" s="100"/>
      <c r="H31" s="100"/>
      <c r="I31" s="100"/>
      <c r="J31" s="100"/>
      <c r="K31" s="100"/>
      <c r="L31" s="100"/>
      <c r="M31" s="100"/>
      <c r="N31" s="100"/>
      <c r="O31" s="116"/>
    </row>
    <row r="32" spans="2:15">
      <c r="B32" s="83"/>
      <c r="C32" s="83"/>
      <c r="D32" s="83"/>
      <c r="E32" s="83"/>
      <c r="F32" s="83"/>
      <c r="G32" s="83"/>
      <c r="H32" s="83"/>
      <c r="I32" s="83"/>
      <c r="J32" s="83"/>
      <c r="K32" s="83"/>
      <c r="L32" s="83"/>
      <c r="M32" s="83"/>
      <c r="N32" s="83"/>
      <c r="O32" s="8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AC9" sqref="AC9"/>
    </sheetView>
  </sheetViews>
  <sheetFormatPr baseColWidth="10" defaultColWidth="14.42578125" defaultRowHeight="15" customHeight="1"/>
  <cols>
    <col min="1" max="1" width="20.42578125" customWidth="1"/>
    <col min="2" max="2" width="11.5703125" bestFit="1" customWidth="1"/>
    <col min="3" max="3" width="11.7109375" bestFit="1" customWidth="1"/>
    <col min="4" max="4" width="11.42578125" bestFit="1" customWidth="1"/>
    <col min="5" max="5" width="11.7109375" bestFit="1" customWidth="1"/>
    <col min="6" max="6" width="11.42578125" bestFit="1" customWidth="1"/>
    <col min="7" max="7" width="11.140625" bestFit="1" customWidth="1"/>
    <col min="8" max="8" width="23" bestFit="1" customWidth="1"/>
    <col min="9" max="9" width="6.85546875" bestFit="1" customWidth="1"/>
    <col min="10" max="11" width="6.42578125" bestFit="1" customWidth="1"/>
    <col min="12" max="12" width="6.85546875" bestFit="1" customWidth="1"/>
    <col min="13" max="13" width="15.140625" bestFit="1" customWidth="1"/>
    <col min="14" max="14" width="23.140625" bestFit="1" customWidth="1"/>
    <col min="15" max="15" width="23.85546875" bestFit="1" customWidth="1"/>
    <col min="16" max="16" width="26.140625" bestFit="1" customWidth="1"/>
    <col min="17" max="17" width="23.5703125" bestFit="1" customWidth="1"/>
    <col min="18" max="18" width="32.85546875" bestFit="1" customWidth="1"/>
    <col min="19"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ht="15.75" thickBot="1">
      <c r="A4" s="157" t="s">
        <v>145</v>
      </c>
      <c r="B4" s="158" t="s">
        <v>278</v>
      </c>
      <c r="C4" s="149" t="s">
        <v>33</v>
      </c>
      <c r="D4" s="149" t="s">
        <v>37</v>
      </c>
      <c r="E4" s="149" t="s">
        <v>42</v>
      </c>
      <c r="F4" s="149" t="s">
        <v>47</v>
      </c>
      <c r="G4" s="149" t="s">
        <v>52</v>
      </c>
      <c r="H4" s="149" t="s">
        <v>57</v>
      </c>
      <c r="I4" s="149" t="s">
        <v>62</v>
      </c>
      <c r="J4" s="149" t="s">
        <v>68</v>
      </c>
      <c r="K4" s="149" t="s">
        <v>70</v>
      </c>
      <c r="L4" s="149" t="s">
        <v>72</v>
      </c>
      <c r="M4" s="159" t="s">
        <v>279</v>
      </c>
      <c r="N4" s="149" t="s">
        <v>117</v>
      </c>
      <c r="O4" s="149" t="s">
        <v>123</v>
      </c>
      <c r="P4" s="149" t="s">
        <v>128</v>
      </c>
      <c r="Q4" s="149" t="s">
        <v>132</v>
      </c>
      <c r="R4" s="149" t="s">
        <v>135</v>
      </c>
      <c r="S4" s="160"/>
      <c r="T4" s="160"/>
      <c r="U4" s="160"/>
      <c r="V4" s="160"/>
      <c r="W4" s="160"/>
      <c r="X4" s="160"/>
      <c r="Y4" s="160"/>
      <c r="Z4" s="160"/>
      <c r="AA4" s="160"/>
      <c r="AB4" s="160"/>
      <c r="AC4" s="160"/>
      <c r="AD4" s="161"/>
    </row>
    <row r="5" spans="1:30" ht="15.75" thickBot="1">
      <c r="A5" s="162" t="s">
        <v>26</v>
      </c>
      <c r="B5" s="163">
        <v>0</v>
      </c>
      <c r="C5" s="164">
        <v>0</v>
      </c>
      <c r="D5" s="165">
        <v>0.37</v>
      </c>
      <c r="E5" s="165">
        <v>0.37</v>
      </c>
      <c r="F5" s="165">
        <v>0.37</v>
      </c>
      <c r="G5" s="165">
        <v>0.37</v>
      </c>
      <c r="H5" s="166">
        <v>0.24299999999999999</v>
      </c>
      <c r="I5" s="164">
        <v>0</v>
      </c>
      <c r="J5" s="164">
        <v>0</v>
      </c>
      <c r="K5" s="164">
        <v>0</v>
      </c>
      <c r="L5" s="164">
        <v>0</v>
      </c>
      <c r="M5" s="167">
        <v>0.24299999999999999</v>
      </c>
      <c r="N5" s="164">
        <v>0</v>
      </c>
      <c r="O5" s="164">
        <v>0</v>
      </c>
      <c r="P5" s="168">
        <v>0.36699999999999999</v>
      </c>
      <c r="Q5" s="164">
        <v>0</v>
      </c>
      <c r="R5" s="168">
        <v>0.36699999999999999</v>
      </c>
      <c r="S5" s="169"/>
      <c r="T5" s="170"/>
      <c r="U5" s="170"/>
      <c r="V5" s="170"/>
      <c r="W5" s="170"/>
      <c r="X5" s="170"/>
      <c r="Y5" s="170"/>
      <c r="Z5" s="170"/>
      <c r="AA5" s="170"/>
      <c r="AB5" s="170"/>
      <c r="AC5" s="170"/>
      <c r="AD5" s="170"/>
    </row>
    <row r="6" spans="1:30" ht="15.75" thickBot="1">
      <c r="A6" s="162" t="s">
        <v>33</v>
      </c>
      <c r="B6" s="171">
        <v>0</v>
      </c>
      <c r="C6" s="172">
        <v>0</v>
      </c>
      <c r="D6" s="173">
        <v>0.37</v>
      </c>
      <c r="E6" s="173">
        <v>0.37</v>
      </c>
      <c r="F6" s="173">
        <v>0.37</v>
      </c>
      <c r="G6" s="173">
        <v>0.37</v>
      </c>
      <c r="H6" s="167">
        <v>0.24299999999999999</v>
      </c>
      <c r="I6" s="172">
        <v>0</v>
      </c>
      <c r="J6" s="172">
        <v>0</v>
      </c>
      <c r="K6" s="172">
        <v>0</v>
      </c>
      <c r="L6" s="172">
        <v>0</v>
      </c>
      <c r="M6" s="167">
        <v>0.24299999999999999</v>
      </c>
      <c r="N6" s="172">
        <v>0</v>
      </c>
      <c r="O6" s="172">
        <v>0</v>
      </c>
      <c r="P6" s="172">
        <v>0</v>
      </c>
      <c r="Q6" s="174">
        <v>0.36699999999999999</v>
      </c>
      <c r="R6" s="172">
        <v>0</v>
      </c>
      <c r="S6" s="175"/>
      <c r="T6" s="148"/>
      <c r="U6" s="148"/>
      <c r="V6" s="148"/>
      <c r="W6" s="148"/>
      <c r="X6" s="148"/>
      <c r="Y6" s="148"/>
      <c r="Z6" s="148"/>
      <c r="AA6" s="148"/>
      <c r="AB6" s="148"/>
      <c r="AC6" s="148"/>
      <c r="AD6" s="148"/>
    </row>
    <row r="7" spans="1:30" ht="15.75" thickBot="1">
      <c r="A7" s="162" t="s">
        <v>37</v>
      </c>
      <c r="B7" s="176">
        <v>0.37</v>
      </c>
      <c r="C7" s="173">
        <v>0.37</v>
      </c>
      <c r="D7" s="172">
        <v>0</v>
      </c>
      <c r="E7" s="172">
        <v>0</v>
      </c>
      <c r="F7" s="172">
        <v>0</v>
      </c>
      <c r="G7" s="172">
        <v>0</v>
      </c>
      <c r="H7" s="177">
        <v>0.184</v>
      </c>
      <c r="I7" s="172">
        <v>0</v>
      </c>
      <c r="J7" s="172">
        <v>0</v>
      </c>
      <c r="K7" s="172">
        <v>0</v>
      </c>
      <c r="L7" s="172">
        <v>0</v>
      </c>
      <c r="M7" s="178">
        <v>0</v>
      </c>
      <c r="N7" s="172">
        <v>0</v>
      </c>
      <c r="O7" s="177">
        <v>0.184</v>
      </c>
      <c r="P7" s="172">
        <v>0</v>
      </c>
      <c r="Q7" s="172">
        <v>0</v>
      </c>
      <c r="R7" s="172">
        <v>0</v>
      </c>
      <c r="S7" s="175"/>
      <c r="T7" s="148"/>
      <c r="U7" s="148"/>
      <c r="V7" s="148"/>
      <c r="W7" s="148"/>
      <c r="X7" s="148"/>
      <c r="Y7" s="148"/>
      <c r="Z7" s="148"/>
      <c r="AA7" s="148"/>
      <c r="AB7" s="148"/>
      <c r="AC7" s="148"/>
      <c r="AD7" s="148"/>
    </row>
    <row r="8" spans="1:30" ht="15.75" thickBot="1">
      <c r="A8" s="162" t="s">
        <v>42</v>
      </c>
      <c r="B8" s="176">
        <v>0.37</v>
      </c>
      <c r="C8" s="173">
        <v>0.37</v>
      </c>
      <c r="D8" s="172">
        <v>0</v>
      </c>
      <c r="E8" s="172">
        <v>0</v>
      </c>
      <c r="F8" s="172">
        <v>0</v>
      </c>
      <c r="G8" s="172">
        <v>0</v>
      </c>
      <c r="H8" s="177">
        <v>0.184</v>
      </c>
      <c r="I8" s="172">
        <v>0</v>
      </c>
      <c r="J8" s="172">
        <v>0</v>
      </c>
      <c r="K8" s="172">
        <v>0</v>
      </c>
      <c r="L8" s="172">
        <v>0</v>
      </c>
      <c r="M8" s="178">
        <v>0</v>
      </c>
      <c r="N8" s="177">
        <v>0.184</v>
      </c>
      <c r="O8" s="172">
        <v>0</v>
      </c>
      <c r="P8" s="172">
        <v>0</v>
      </c>
      <c r="Q8" s="172">
        <v>0</v>
      </c>
      <c r="R8" s="172">
        <v>0</v>
      </c>
      <c r="S8" s="175"/>
      <c r="T8" s="148"/>
      <c r="U8" s="148"/>
      <c r="V8" s="148"/>
      <c r="W8" s="148"/>
      <c r="X8" s="148"/>
      <c r="Y8" s="148"/>
      <c r="Z8" s="148"/>
      <c r="AA8" s="148"/>
      <c r="AB8" s="148"/>
      <c r="AC8" s="148"/>
      <c r="AD8" s="148"/>
    </row>
    <row r="9" spans="1:30" ht="15.75" thickBot="1">
      <c r="A9" s="162" t="s">
        <v>47</v>
      </c>
      <c r="B9" s="176">
        <v>0.37</v>
      </c>
      <c r="C9" s="173">
        <v>0.37</v>
      </c>
      <c r="D9" s="172">
        <v>0</v>
      </c>
      <c r="E9" s="172">
        <v>0</v>
      </c>
      <c r="F9" s="172">
        <v>0</v>
      </c>
      <c r="G9" s="172">
        <v>0</v>
      </c>
      <c r="H9" s="172">
        <v>0</v>
      </c>
      <c r="I9" s="172">
        <v>0</v>
      </c>
      <c r="J9" s="172">
        <v>0</v>
      </c>
      <c r="K9" s="172">
        <v>0</v>
      </c>
      <c r="L9" s="172">
        <v>0</v>
      </c>
      <c r="M9" s="177">
        <v>0.184</v>
      </c>
      <c r="N9" s="177">
        <v>0.184</v>
      </c>
      <c r="O9" s="172">
        <v>0</v>
      </c>
      <c r="P9" s="172">
        <v>0</v>
      </c>
      <c r="Q9" s="172">
        <v>0</v>
      </c>
      <c r="R9" s="172">
        <v>0</v>
      </c>
      <c r="S9" s="175"/>
      <c r="T9" s="148"/>
      <c r="U9" s="148"/>
      <c r="V9" s="148"/>
      <c r="W9" s="148"/>
      <c r="X9" s="148"/>
      <c r="Y9" s="148"/>
      <c r="Z9" s="148"/>
      <c r="AA9" s="148"/>
      <c r="AB9" s="148"/>
      <c r="AC9" s="148"/>
      <c r="AD9" s="148"/>
    </row>
    <row r="10" spans="1:30" ht="15.75" thickBot="1">
      <c r="A10" s="162" t="s">
        <v>52</v>
      </c>
      <c r="B10" s="176">
        <v>0.37</v>
      </c>
      <c r="C10" s="173">
        <v>0.37</v>
      </c>
      <c r="D10" s="172">
        <v>0</v>
      </c>
      <c r="E10" s="172">
        <v>0</v>
      </c>
      <c r="F10" s="172">
        <v>0</v>
      </c>
      <c r="G10" s="172">
        <v>0</v>
      </c>
      <c r="H10" s="172">
        <v>0</v>
      </c>
      <c r="I10" s="172">
        <v>0</v>
      </c>
      <c r="J10" s="172">
        <v>0</v>
      </c>
      <c r="K10" s="172">
        <v>0</v>
      </c>
      <c r="L10" s="172">
        <v>0</v>
      </c>
      <c r="M10" s="177">
        <v>0.184</v>
      </c>
      <c r="N10" s="172">
        <v>0</v>
      </c>
      <c r="O10" s="177">
        <v>0.184</v>
      </c>
      <c r="P10" s="172">
        <v>0</v>
      </c>
      <c r="Q10" s="172">
        <v>0</v>
      </c>
      <c r="R10" s="172">
        <v>0</v>
      </c>
      <c r="S10" s="175"/>
      <c r="T10" s="148"/>
      <c r="U10" s="148"/>
      <c r="V10" s="148"/>
      <c r="W10" s="148"/>
      <c r="X10" s="148"/>
      <c r="Y10" s="148"/>
      <c r="Z10" s="148"/>
      <c r="AA10" s="148"/>
      <c r="AB10" s="148"/>
      <c r="AC10" s="148"/>
      <c r="AD10" s="148"/>
    </row>
    <row r="11" spans="1:30" ht="15.75" thickBot="1">
      <c r="A11" s="162" t="s">
        <v>57</v>
      </c>
      <c r="B11" s="179">
        <v>0.24299999999999999</v>
      </c>
      <c r="C11" s="167">
        <v>0.24299999999999999</v>
      </c>
      <c r="D11" s="177">
        <v>0.184</v>
      </c>
      <c r="E11" s="177">
        <v>0.184</v>
      </c>
      <c r="F11" s="172">
        <v>0</v>
      </c>
      <c r="G11" s="172">
        <v>0</v>
      </c>
      <c r="H11" s="172">
        <v>0</v>
      </c>
      <c r="I11" s="180">
        <v>5.6840000000000002</v>
      </c>
      <c r="J11" s="180">
        <v>5.6840000000000002</v>
      </c>
      <c r="K11" s="180">
        <v>5.6840000000000002</v>
      </c>
      <c r="L11" s="180">
        <v>5.6840000000000002</v>
      </c>
      <c r="M11" s="172">
        <v>0</v>
      </c>
      <c r="N11" s="172">
        <v>0</v>
      </c>
      <c r="O11" s="172">
        <v>0</v>
      </c>
      <c r="P11" s="172">
        <v>0</v>
      </c>
      <c r="Q11" s="172">
        <v>0</v>
      </c>
      <c r="R11" s="181">
        <v>0</v>
      </c>
      <c r="S11" s="175"/>
      <c r="T11" s="148"/>
      <c r="U11" s="148"/>
      <c r="V11" s="148"/>
      <c r="W11" s="148"/>
      <c r="X11" s="148"/>
      <c r="Y11" s="148"/>
      <c r="Z11" s="148"/>
      <c r="AA11" s="148"/>
      <c r="AB11" s="148"/>
      <c r="AC11" s="148"/>
      <c r="AD11" s="148"/>
    </row>
    <row r="12" spans="1:30" ht="15.75" thickBot="1">
      <c r="A12" s="162" t="s">
        <v>62</v>
      </c>
      <c r="B12" s="171">
        <v>0</v>
      </c>
      <c r="C12" s="172">
        <v>0</v>
      </c>
      <c r="D12" s="172">
        <v>0</v>
      </c>
      <c r="E12" s="172">
        <v>0</v>
      </c>
      <c r="F12" s="172">
        <v>0</v>
      </c>
      <c r="G12" s="172">
        <v>0</v>
      </c>
      <c r="H12" s="180">
        <v>5.6840000000000002</v>
      </c>
      <c r="I12" s="172">
        <v>0</v>
      </c>
      <c r="J12" s="172">
        <v>0</v>
      </c>
      <c r="K12" s="172">
        <v>0</v>
      </c>
      <c r="L12" s="172">
        <v>0</v>
      </c>
      <c r="M12" s="172">
        <v>0</v>
      </c>
      <c r="N12" s="172">
        <v>0</v>
      </c>
      <c r="O12" s="172">
        <v>0</v>
      </c>
      <c r="P12" s="172">
        <v>0</v>
      </c>
      <c r="Q12" s="172">
        <v>0</v>
      </c>
      <c r="R12" s="181">
        <v>0</v>
      </c>
      <c r="S12" s="175"/>
      <c r="T12" s="148"/>
      <c r="U12" s="148"/>
      <c r="V12" s="148"/>
      <c r="W12" s="148"/>
      <c r="X12" s="148"/>
      <c r="Y12" s="148"/>
      <c r="Z12" s="148"/>
      <c r="AA12" s="148"/>
      <c r="AB12" s="148"/>
      <c r="AC12" s="148"/>
      <c r="AD12" s="148"/>
    </row>
    <row r="13" spans="1:30" ht="15.75" thickBot="1">
      <c r="A13" s="162" t="s">
        <v>68</v>
      </c>
      <c r="B13" s="171">
        <v>0</v>
      </c>
      <c r="C13" s="172">
        <v>0</v>
      </c>
      <c r="D13" s="172">
        <v>0</v>
      </c>
      <c r="E13" s="172">
        <v>0</v>
      </c>
      <c r="F13" s="172">
        <v>0</v>
      </c>
      <c r="G13" s="172">
        <v>0</v>
      </c>
      <c r="H13" s="180">
        <v>5.6840000000000002</v>
      </c>
      <c r="I13" s="172">
        <v>0</v>
      </c>
      <c r="J13" s="172">
        <v>0</v>
      </c>
      <c r="K13" s="172">
        <v>0</v>
      </c>
      <c r="L13" s="172">
        <v>0</v>
      </c>
      <c r="M13" s="172">
        <v>0</v>
      </c>
      <c r="N13" s="172">
        <v>0</v>
      </c>
      <c r="O13" s="172">
        <v>0</v>
      </c>
      <c r="P13" s="172">
        <v>0</v>
      </c>
      <c r="Q13" s="172">
        <v>0</v>
      </c>
      <c r="R13" s="181">
        <v>0</v>
      </c>
      <c r="S13" s="175"/>
      <c r="T13" s="148"/>
      <c r="U13" s="148"/>
      <c r="V13" s="148"/>
      <c r="W13" s="148"/>
      <c r="X13" s="148"/>
      <c r="Y13" s="148"/>
      <c r="Z13" s="148"/>
      <c r="AA13" s="148"/>
      <c r="AB13" s="148"/>
      <c r="AC13" s="148"/>
      <c r="AD13" s="148"/>
    </row>
    <row r="14" spans="1:30" ht="15.75" thickBot="1">
      <c r="A14" s="162" t="s">
        <v>70</v>
      </c>
      <c r="B14" s="171">
        <v>0</v>
      </c>
      <c r="C14" s="172">
        <v>0</v>
      </c>
      <c r="D14" s="172">
        <v>0</v>
      </c>
      <c r="E14" s="172">
        <v>0</v>
      </c>
      <c r="F14" s="172">
        <v>0</v>
      </c>
      <c r="G14" s="172">
        <v>0</v>
      </c>
      <c r="H14" s="180">
        <v>5.6840000000000002</v>
      </c>
      <c r="I14" s="172">
        <v>0</v>
      </c>
      <c r="J14" s="172">
        <v>0</v>
      </c>
      <c r="K14" s="172">
        <v>0</v>
      </c>
      <c r="L14" s="172">
        <v>0</v>
      </c>
      <c r="M14" s="172">
        <v>0</v>
      </c>
      <c r="N14" s="172">
        <v>0</v>
      </c>
      <c r="O14" s="172">
        <v>0</v>
      </c>
      <c r="P14" s="172">
        <v>0</v>
      </c>
      <c r="Q14" s="172">
        <v>0</v>
      </c>
      <c r="R14" s="181">
        <v>0</v>
      </c>
      <c r="S14" s="175"/>
      <c r="T14" s="148"/>
      <c r="U14" s="148"/>
      <c r="V14" s="148"/>
      <c r="W14" s="148"/>
      <c r="X14" s="148"/>
      <c r="Y14" s="148"/>
      <c r="Z14" s="148"/>
      <c r="AA14" s="148"/>
      <c r="AB14" s="148"/>
      <c r="AC14" s="148"/>
      <c r="AD14" s="148"/>
    </row>
    <row r="15" spans="1:30" ht="15.75" customHeight="1" thickBot="1">
      <c r="A15" s="162" t="s">
        <v>72</v>
      </c>
      <c r="B15" s="171">
        <v>0</v>
      </c>
      <c r="C15" s="172">
        <v>0</v>
      </c>
      <c r="D15" s="172">
        <v>0</v>
      </c>
      <c r="E15" s="172">
        <v>0</v>
      </c>
      <c r="F15" s="172">
        <v>0</v>
      </c>
      <c r="G15" s="172">
        <v>0</v>
      </c>
      <c r="H15" s="180">
        <v>5.6840000000000002</v>
      </c>
      <c r="I15" s="172">
        <v>0</v>
      </c>
      <c r="J15" s="172">
        <v>0</v>
      </c>
      <c r="K15" s="172">
        <v>0</v>
      </c>
      <c r="L15" s="172">
        <v>0</v>
      </c>
      <c r="M15" s="172">
        <v>0</v>
      </c>
      <c r="N15" s="172">
        <v>0</v>
      </c>
      <c r="O15" s="172">
        <v>0</v>
      </c>
      <c r="P15" s="172">
        <v>0</v>
      </c>
      <c r="Q15" s="172">
        <v>0</v>
      </c>
      <c r="R15" s="181">
        <v>0</v>
      </c>
      <c r="S15" s="175"/>
      <c r="T15" s="148"/>
      <c r="U15" s="148"/>
      <c r="V15" s="148"/>
      <c r="W15" s="148"/>
      <c r="X15" s="148"/>
      <c r="Y15" s="148"/>
      <c r="Z15" s="148"/>
      <c r="AA15" s="148"/>
      <c r="AB15" s="148"/>
      <c r="AC15" s="148"/>
      <c r="AD15" s="148"/>
    </row>
    <row r="16" spans="1:30" ht="15.75" customHeight="1" thickBot="1">
      <c r="A16" s="182" t="s">
        <v>279</v>
      </c>
      <c r="B16" s="179">
        <v>0.24299999999999999</v>
      </c>
      <c r="C16" s="167">
        <v>0.24299999999999999</v>
      </c>
      <c r="D16" s="178">
        <v>0</v>
      </c>
      <c r="E16" s="178">
        <v>0</v>
      </c>
      <c r="F16" s="177">
        <v>0.184</v>
      </c>
      <c r="G16" s="177">
        <v>0.184</v>
      </c>
      <c r="H16" s="172">
        <v>0</v>
      </c>
      <c r="I16" s="172">
        <v>0</v>
      </c>
      <c r="J16" s="172">
        <v>0</v>
      </c>
      <c r="K16" s="172">
        <v>0</v>
      </c>
      <c r="L16" s="172">
        <v>0</v>
      </c>
      <c r="M16" s="172">
        <v>0</v>
      </c>
      <c r="N16" s="172">
        <v>0</v>
      </c>
      <c r="O16" s="172">
        <v>0</v>
      </c>
      <c r="P16" s="172">
        <v>0</v>
      </c>
      <c r="Q16" s="172">
        <v>0</v>
      </c>
      <c r="R16" s="174">
        <v>0.36699999999999999</v>
      </c>
      <c r="S16" s="175"/>
      <c r="T16" s="148"/>
      <c r="U16" s="148"/>
      <c r="V16" s="148"/>
      <c r="W16" s="148"/>
      <c r="X16" s="148"/>
      <c r="Y16" s="148"/>
      <c r="Z16" s="148"/>
      <c r="AA16" s="148"/>
      <c r="AB16" s="148"/>
      <c r="AC16" s="148"/>
      <c r="AD16" s="148"/>
    </row>
    <row r="17" spans="1:30" ht="15.75" customHeight="1" thickBot="1">
      <c r="A17" s="162" t="s">
        <v>280</v>
      </c>
      <c r="B17" s="171">
        <v>0</v>
      </c>
      <c r="C17" s="172">
        <v>0</v>
      </c>
      <c r="D17" s="172">
        <v>0</v>
      </c>
      <c r="E17" s="177">
        <v>0.184</v>
      </c>
      <c r="F17" s="177">
        <v>0.184</v>
      </c>
      <c r="G17" s="172">
        <v>0</v>
      </c>
      <c r="H17" s="172">
        <v>0</v>
      </c>
      <c r="I17" s="172">
        <v>0</v>
      </c>
      <c r="J17" s="172">
        <v>0</v>
      </c>
      <c r="K17" s="172">
        <v>0</v>
      </c>
      <c r="L17" s="172">
        <v>0</v>
      </c>
      <c r="M17" s="172">
        <v>0</v>
      </c>
      <c r="N17" s="172">
        <v>0</v>
      </c>
      <c r="O17" s="172">
        <v>0</v>
      </c>
      <c r="P17" s="172">
        <v>0</v>
      </c>
      <c r="Q17" s="172">
        <v>0</v>
      </c>
      <c r="R17" s="181">
        <v>0</v>
      </c>
      <c r="S17" s="175"/>
      <c r="T17" s="148"/>
      <c r="U17" s="148"/>
      <c r="V17" s="148"/>
      <c r="W17" s="148"/>
      <c r="X17" s="148"/>
      <c r="Y17" s="148"/>
      <c r="Z17" s="148"/>
      <c r="AA17" s="148"/>
      <c r="AB17" s="148"/>
      <c r="AC17" s="148"/>
      <c r="AD17" s="148"/>
    </row>
    <row r="18" spans="1:30" ht="15.75" customHeight="1" thickBot="1">
      <c r="A18" s="162" t="s">
        <v>281</v>
      </c>
      <c r="B18" s="171">
        <v>0</v>
      </c>
      <c r="C18" s="172">
        <v>0</v>
      </c>
      <c r="D18" s="177">
        <v>0.184</v>
      </c>
      <c r="E18" s="172">
        <v>0</v>
      </c>
      <c r="F18" s="172">
        <v>0</v>
      </c>
      <c r="G18" s="177">
        <v>0.184</v>
      </c>
      <c r="H18" s="172">
        <v>0</v>
      </c>
      <c r="I18" s="172">
        <v>0</v>
      </c>
      <c r="J18" s="172">
        <v>0</v>
      </c>
      <c r="K18" s="172">
        <v>0</v>
      </c>
      <c r="L18" s="172">
        <v>0</v>
      </c>
      <c r="M18" s="172">
        <v>0</v>
      </c>
      <c r="N18" s="172">
        <v>0</v>
      </c>
      <c r="O18" s="172">
        <v>0</v>
      </c>
      <c r="P18" s="172">
        <v>0</v>
      </c>
      <c r="Q18" s="172">
        <v>0</v>
      </c>
      <c r="R18" s="181">
        <v>0</v>
      </c>
      <c r="S18" s="175"/>
      <c r="T18" s="148"/>
      <c r="U18" s="148"/>
      <c r="V18" s="148"/>
      <c r="W18" s="148"/>
      <c r="X18" s="148"/>
      <c r="Y18" s="148"/>
      <c r="Z18" s="148"/>
      <c r="AA18" s="148"/>
      <c r="AB18" s="148"/>
      <c r="AC18" s="148"/>
      <c r="AD18" s="148"/>
    </row>
    <row r="19" spans="1:30" ht="15.75" customHeight="1" thickBot="1">
      <c r="A19" s="162" t="s">
        <v>282</v>
      </c>
      <c r="B19" s="183">
        <v>0.36699999999999999</v>
      </c>
      <c r="C19" s="172">
        <v>0</v>
      </c>
      <c r="D19" s="172">
        <v>0</v>
      </c>
      <c r="E19" s="172">
        <v>0</v>
      </c>
      <c r="F19" s="172">
        <v>0</v>
      </c>
      <c r="G19" s="172">
        <v>0</v>
      </c>
      <c r="H19" s="172">
        <v>0</v>
      </c>
      <c r="I19" s="172">
        <v>0</v>
      </c>
      <c r="J19" s="172">
        <v>0</v>
      </c>
      <c r="K19" s="172">
        <v>0</v>
      </c>
      <c r="L19" s="172">
        <v>0</v>
      </c>
      <c r="M19" s="172">
        <v>0</v>
      </c>
      <c r="N19" s="172">
        <v>0</v>
      </c>
      <c r="O19" s="172">
        <v>0</v>
      </c>
      <c r="P19" s="172">
        <v>0</v>
      </c>
      <c r="Q19" s="172">
        <v>0</v>
      </c>
      <c r="R19" s="181">
        <v>0</v>
      </c>
      <c r="S19" s="175"/>
      <c r="T19" s="148"/>
      <c r="U19" s="148"/>
      <c r="V19" s="148"/>
      <c r="W19" s="148"/>
      <c r="X19" s="148"/>
      <c r="Y19" s="148"/>
      <c r="Z19" s="148"/>
      <c r="AA19" s="148"/>
      <c r="AB19" s="148"/>
      <c r="AC19" s="148"/>
      <c r="AD19" s="148"/>
    </row>
    <row r="20" spans="1:30" ht="15.75" customHeight="1" thickBot="1">
      <c r="A20" s="162" t="s">
        <v>283</v>
      </c>
      <c r="B20" s="171">
        <v>0</v>
      </c>
      <c r="C20" s="174">
        <v>0.36699999999999999</v>
      </c>
      <c r="D20" s="172">
        <v>0</v>
      </c>
      <c r="E20" s="172">
        <v>0</v>
      </c>
      <c r="F20" s="172">
        <v>0</v>
      </c>
      <c r="G20" s="172">
        <v>0</v>
      </c>
      <c r="H20" s="172">
        <v>0</v>
      </c>
      <c r="I20" s="172">
        <v>0</v>
      </c>
      <c r="J20" s="172">
        <v>0</v>
      </c>
      <c r="K20" s="172">
        <v>0</v>
      </c>
      <c r="L20" s="172">
        <v>0</v>
      </c>
      <c r="M20" s="172">
        <v>0</v>
      </c>
      <c r="N20" s="172">
        <v>0</v>
      </c>
      <c r="O20" s="172">
        <v>0</v>
      </c>
      <c r="P20" s="172">
        <v>0</v>
      </c>
      <c r="Q20" s="172">
        <v>0</v>
      </c>
      <c r="R20" s="181">
        <v>0</v>
      </c>
      <c r="S20" s="175"/>
      <c r="T20" s="148"/>
      <c r="U20" s="148"/>
      <c r="V20" s="148"/>
      <c r="W20" s="148"/>
      <c r="X20" s="148"/>
      <c r="Y20" s="148"/>
      <c r="Z20" s="148"/>
      <c r="AA20" s="148"/>
      <c r="AB20" s="148"/>
      <c r="AC20" s="148"/>
      <c r="AD20" s="148"/>
    </row>
    <row r="21" spans="1:30" ht="15.75" customHeight="1" thickBot="1">
      <c r="A21" s="184" t="s">
        <v>284</v>
      </c>
      <c r="B21" s="183">
        <v>0.36699999999999999</v>
      </c>
      <c r="C21" s="172">
        <v>0</v>
      </c>
      <c r="D21" s="172">
        <v>0</v>
      </c>
      <c r="E21" s="172">
        <v>0</v>
      </c>
      <c r="F21" s="172">
        <v>0</v>
      </c>
      <c r="G21" s="172">
        <v>0</v>
      </c>
      <c r="H21" s="172">
        <v>0</v>
      </c>
      <c r="I21" s="172">
        <v>0</v>
      </c>
      <c r="J21" s="172">
        <v>0</v>
      </c>
      <c r="K21" s="172">
        <v>0</v>
      </c>
      <c r="L21" s="172">
        <v>0</v>
      </c>
      <c r="M21" s="174">
        <v>0.36699999999999999</v>
      </c>
      <c r="N21" s="172">
        <v>0</v>
      </c>
      <c r="O21" s="172">
        <v>0</v>
      </c>
      <c r="P21" s="172">
        <v>0</v>
      </c>
      <c r="Q21" s="172">
        <v>0</v>
      </c>
      <c r="R21" s="181">
        <v>0</v>
      </c>
      <c r="S21" s="175"/>
      <c r="T21" s="148"/>
      <c r="U21" s="148"/>
      <c r="V21" s="148"/>
      <c r="W21" s="148"/>
      <c r="X21" s="148"/>
      <c r="Y21" s="148"/>
      <c r="Z21" s="148"/>
      <c r="AA21" s="148"/>
      <c r="AB21" s="148"/>
      <c r="AC21" s="148"/>
      <c r="AD21" s="148"/>
    </row>
    <row r="22" spans="1:30" ht="15.75" customHeight="1">
      <c r="A22" s="160"/>
      <c r="B22" s="185"/>
      <c r="C22" s="186"/>
      <c r="D22" s="186"/>
      <c r="E22" s="186"/>
      <c r="F22" s="186"/>
      <c r="G22" s="186"/>
      <c r="H22" s="186"/>
      <c r="I22" s="186"/>
      <c r="J22" s="186"/>
      <c r="K22" s="186"/>
      <c r="L22" s="186"/>
      <c r="M22" s="186"/>
      <c r="N22" s="186"/>
      <c r="O22" s="186"/>
      <c r="P22" s="186"/>
      <c r="Q22" s="186"/>
      <c r="R22" s="186"/>
      <c r="S22" s="148"/>
      <c r="T22" s="148"/>
      <c r="U22" s="148"/>
      <c r="V22" s="148"/>
      <c r="W22" s="148"/>
      <c r="X22" s="148"/>
      <c r="Y22" s="148"/>
      <c r="Z22" s="148"/>
      <c r="AA22" s="148"/>
      <c r="AB22" s="148"/>
      <c r="AC22" s="148"/>
      <c r="AD22" s="148"/>
    </row>
    <row r="23" spans="1:30" ht="15.75" customHeight="1">
      <c r="A23" s="160"/>
      <c r="B23" s="187"/>
      <c r="C23" s="148"/>
      <c r="D23" s="148"/>
      <c r="E23" s="148"/>
      <c r="F23" s="148"/>
      <c r="G23" s="148"/>
      <c r="H23" s="148"/>
      <c r="I23" s="148"/>
      <c r="J23" s="148"/>
      <c r="K23" s="148"/>
      <c r="L23" s="148"/>
      <c r="M23" s="148"/>
      <c r="N23" s="148"/>
      <c r="O23" s="148"/>
      <c r="P23" s="148"/>
      <c r="Q23" s="148"/>
      <c r="R23" s="148"/>
      <c r="S23" s="148"/>
      <c r="T23" s="148"/>
      <c r="U23" s="148"/>
      <c r="V23" s="148"/>
      <c r="W23" s="148"/>
      <c r="X23" s="148"/>
      <c r="Y23" s="148"/>
      <c r="Z23" s="148"/>
      <c r="AA23" s="148"/>
      <c r="AB23" s="148"/>
      <c r="AC23" s="148"/>
      <c r="AD23" s="148"/>
    </row>
    <row r="24" spans="1:30" ht="15.75" customHeight="1">
      <c r="A24" s="160"/>
      <c r="B24" s="187"/>
      <c r="C24" s="148"/>
      <c r="D24" s="148"/>
      <c r="E24" s="148"/>
      <c r="F24" s="148"/>
      <c r="G24" s="148"/>
      <c r="H24" s="148"/>
      <c r="I24" s="148"/>
      <c r="J24" s="148"/>
      <c r="K24" s="148"/>
      <c r="L24" s="148"/>
      <c r="M24" s="148"/>
      <c r="N24" s="148"/>
      <c r="O24" s="148"/>
      <c r="P24" s="148"/>
      <c r="Q24" s="148"/>
      <c r="R24" s="148"/>
      <c r="S24" s="148"/>
      <c r="T24" s="148"/>
      <c r="U24" s="148"/>
      <c r="V24" s="148"/>
      <c r="W24" s="148"/>
      <c r="X24" s="148"/>
      <c r="Y24" s="148"/>
      <c r="Z24" s="148"/>
      <c r="AA24" s="148"/>
      <c r="AB24" s="148"/>
      <c r="AC24" s="148"/>
      <c r="AD24" s="148"/>
    </row>
    <row r="25" spans="1:30" ht="15.75" customHeight="1">
      <c r="A25" s="160"/>
      <c r="B25" s="187"/>
      <c r="C25" s="148"/>
      <c r="D25" s="148"/>
      <c r="E25" s="148"/>
      <c r="F25" s="148"/>
      <c r="G25" s="148"/>
      <c r="H25" s="148"/>
      <c r="I25" s="148"/>
      <c r="J25" s="148"/>
      <c r="K25" s="148"/>
      <c r="L25" s="148"/>
      <c r="M25" s="148"/>
      <c r="N25" s="148"/>
      <c r="O25" s="148"/>
      <c r="P25" s="148"/>
      <c r="Q25" s="148"/>
      <c r="R25" s="148"/>
      <c r="S25" s="148"/>
      <c r="T25" s="148"/>
      <c r="U25" s="148"/>
      <c r="V25" s="148"/>
      <c r="W25" s="148"/>
      <c r="X25" s="148"/>
      <c r="Y25" s="148"/>
      <c r="Z25" s="148"/>
      <c r="AA25" s="148"/>
      <c r="AB25" s="148"/>
      <c r="AC25" s="148"/>
      <c r="AD25" s="148"/>
    </row>
    <row r="26" spans="1:30" ht="15.75" customHeight="1">
      <c r="A26" s="160"/>
      <c r="B26" s="187"/>
      <c r="C26" s="148"/>
      <c r="D26" s="148"/>
      <c r="E26" s="148"/>
      <c r="F26" s="148"/>
      <c r="G26" s="148"/>
      <c r="H26" s="148"/>
      <c r="I26" s="148"/>
      <c r="J26" s="148"/>
      <c r="K26" s="148"/>
      <c r="L26" s="148"/>
      <c r="M26" s="148"/>
      <c r="N26" s="148"/>
      <c r="O26" s="148"/>
      <c r="P26" s="148"/>
      <c r="Q26" s="148"/>
      <c r="R26" s="148"/>
      <c r="S26" s="148"/>
      <c r="T26" s="148"/>
      <c r="U26" s="148"/>
      <c r="V26" s="148"/>
      <c r="W26" s="148"/>
      <c r="X26" s="148"/>
      <c r="Y26" s="148"/>
      <c r="Z26" s="148"/>
      <c r="AA26" s="148"/>
      <c r="AB26" s="148"/>
      <c r="AC26" s="148"/>
      <c r="AD26" s="148"/>
    </row>
    <row r="27" spans="1:30" ht="15.75" customHeight="1">
      <c r="A27" s="160"/>
      <c r="B27" s="187"/>
      <c r="C27" s="148"/>
      <c r="D27" s="148"/>
      <c r="E27" s="148"/>
      <c r="F27" s="148"/>
      <c r="G27" s="148"/>
      <c r="H27" s="148"/>
      <c r="I27" s="148"/>
      <c r="J27" s="148"/>
      <c r="K27" s="148"/>
      <c r="L27" s="148"/>
      <c r="M27" s="148"/>
      <c r="N27" s="148"/>
      <c r="O27" s="148"/>
      <c r="P27" s="148"/>
      <c r="Q27" s="148"/>
      <c r="R27" s="148"/>
      <c r="S27" s="148"/>
      <c r="T27" s="148"/>
      <c r="U27" s="148"/>
      <c r="V27" s="148"/>
      <c r="W27" s="148"/>
      <c r="X27" s="148"/>
      <c r="Y27" s="148"/>
      <c r="Z27" s="148"/>
      <c r="AA27" s="148"/>
      <c r="AB27" s="148"/>
      <c r="AC27" s="148"/>
      <c r="AD27" s="148"/>
    </row>
    <row r="28" spans="1:30" ht="15.75" customHeight="1">
      <c r="A28" s="160"/>
      <c r="B28" s="187"/>
      <c r="C28" s="148"/>
      <c r="D28" s="148"/>
      <c r="E28" s="148"/>
      <c r="F28" s="148"/>
      <c r="G28" s="148"/>
      <c r="H28" s="148"/>
      <c r="I28" s="148"/>
      <c r="J28" s="148"/>
      <c r="K28" s="148"/>
      <c r="L28" s="148"/>
      <c r="M28" s="148"/>
      <c r="N28" s="148"/>
      <c r="O28" s="148"/>
      <c r="P28" s="148"/>
      <c r="Q28" s="148"/>
      <c r="R28" s="148"/>
      <c r="S28" s="148"/>
      <c r="T28" s="148"/>
      <c r="U28" s="148"/>
      <c r="V28" s="148"/>
      <c r="W28" s="148"/>
      <c r="X28" s="148"/>
      <c r="Y28" s="148"/>
      <c r="Z28" s="148"/>
      <c r="AA28" s="148"/>
      <c r="AB28" s="148"/>
      <c r="AC28" s="148"/>
      <c r="AD28" s="148"/>
    </row>
    <row r="29" spans="1:30" ht="15.75" customHeight="1">
      <c r="A29" s="160"/>
      <c r="B29" s="187"/>
      <c r="C29" s="148"/>
      <c r="D29" s="148"/>
      <c r="E29" s="148"/>
      <c r="F29" s="148"/>
      <c r="G29" s="148"/>
      <c r="H29" s="148"/>
      <c r="I29" s="148"/>
      <c r="J29" s="148"/>
      <c r="K29" s="148"/>
      <c r="L29" s="148"/>
      <c r="M29" s="148"/>
      <c r="N29" s="148"/>
      <c r="O29" s="148"/>
      <c r="P29" s="148"/>
      <c r="Q29" s="148"/>
      <c r="R29" s="148"/>
      <c r="S29" s="148"/>
      <c r="T29" s="148"/>
      <c r="U29" s="148"/>
      <c r="V29" s="148"/>
      <c r="W29" s="148"/>
      <c r="X29" s="148"/>
      <c r="Y29" s="148"/>
      <c r="Z29" s="148"/>
      <c r="AA29" s="148"/>
      <c r="AB29" s="148"/>
      <c r="AC29" s="148"/>
      <c r="AD29" s="148"/>
    </row>
    <row r="30" spans="1:30" ht="15.75" customHeight="1">
      <c r="A30" s="160"/>
      <c r="B30" s="187"/>
      <c r="C30" s="148"/>
      <c r="D30" s="148"/>
      <c r="E30" s="148"/>
      <c r="F30" s="148"/>
      <c r="G30" s="148"/>
      <c r="H30" s="148"/>
      <c r="I30" s="148"/>
      <c r="J30" s="148"/>
      <c r="K30" s="148"/>
      <c r="L30" s="148"/>
      <c r="M30" s="148"/>
      <c r="N30" s="148"/>
      <c r="O30" s="148"/>
      <c r="P30" s="148"/>
      <c r="Q30" s="148"/>
      <c r="R30" s="148"/>
      <c r="S30" s="148"/>
      <c r="T30" s="148"/>
      <c r="U30" s="148"/>
      <c r="V30" s="148"/>
      <c r="W30" s="148"/>
      <c r="X30" s="148"/>
      <c r="Y30" s="148"/>
      <c r="Z30" s="148"/>
      <c r="AA30" s="148"/>
      <c r="AB30" s="148"/>
      <c r="AC30" s="148"/>
      <c r="AD30" s="148"/>
    </row>
    <row r="31" spans="1:30" ht="15.75" customHeight="1">
      <c r="A31" s="160"/>
      <c r="B31" s="187"/>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c r="AC31" s="148"/>
      <c r="AD31" s="148"/>
    </row>
    <row r="32" spans="1:30" ht="15.75" customHeight="1">
      <c r="A32" s="160"/>
      <c r="B32" s="187"/>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c r="AC32" s="148"/>
      <c r="AD32" s="148"/>
    </row>
    <row r="33" spans="1:30" ht="15.75" customHeight="1">
      <c r="A33" s="188"/>
      <c r="B33" s="187"/>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c r="AC33" s="148"/>
      <c r="AD33" s="148"/>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Instrucciones de uso</vt:lpstr>
      <vt:lpstr>Nodes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2025-03-21T22:37:41Z</dcterms:modified>
</cp:coreProperties>
</file>