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mc:AlternateContent xmlns:mc="http://schemas.openxmlformats.org/markup-compatibility/2006">
    <mc:Choice Requires="x15">
      <x15ac:absPath xmlns:x15ac="http://schemas.microsoft.com/office/spreadsheetml/2010/11/ac" url="C:\Users\Eduardo Navarro\Desktop\Cosas\Teidesat\Nueva carpeta\TeideThermal\teidecode_v1\"/>
    </mc:Choice>
  </mc:AlternateContent>
  <xr:revisionPtr revIDLastSave="0" documentId="13_ncr:1_{AF56F914-63FC-4545-8856-CE21525E64FF}" xr6:coauthVersionLast="47" xr6:coauthVersionMax="47" xr10:uidLastSave="{00000000-0000-0000-0000-000000000000}"/>
  <bookViews>
    <workbookView xWindow="-120" yWindow="-120" windowWidth="29040" windowHeight="15840" firstSheet="1" activeTab="2" xr2:uid="{00000000-000D-0000-FFFF-FFFF00000000}"/>
  </bookViews>
  <sheets>
    <sheet name="Nodes properties" sheetId="1" r:id="rId1"/>
    <sheet name="Conductances determination" sheetId="3" r:id="rId2"/>
    <sheet name="Startup Parameters" sheetId="7" r:id="rId3"/>
    <sheet name="Operation" sheetId="5" r:id="rId4"/>
    <sheet name="Modes" sheetId="6" r:id="rId5"/>
    <sheet name="Nodes thermal properties" sheetId="4" r:id="rId6"/>
    <sheet name="Conductances_between_nodes" sheetId="2"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KFLR0Am3JTZ+8bb0VcOSu/VdiBw=="/>
    </ext>
  </extLst>
</workbook>
</file>

<file path=xl/calcChain.xml><?xml version="1.0" encoding="utf-8"?>
<calcChain xmlns="http://schemas.openxmlformats.org/spreadsheetml/2006/main">
  <c r="D8" i="5" l="1"/>
  <c r="E8" i="5"/>
  <c r="F8" i="5"/>
  <c r="D9" i="5"/>
  <c r="E9" i="5"/>
  <c r="F9" i="5"/>
  <c r="D10" i="5"/>
  <c r="E10" i="5"/>
  <c r="F10" i="5"/>
  <c r="D11" i="5"/>
  <c r="E11" i="5"/>
  <c r="F11" i="5"/>
  <c r="D12" i="5"/>
  <c r="E12" i="5"/>
  <c r="F12" i="5"/>
  <c r="D13" i="5"/>
  <c r="E13" i="5"/>
  <c r="F13" i="5"/>
  <c r="D14" i="5"/>
  <c r="E14" i="5"/>
  <c r="F14" i="5"/>
  <c r="D15" i="5"/>
  <c r="E15" i="5"/>
  <c r="F15" i="5"/>
  <c r="D16" i="5"/>
  <c r="E16" i="5"/>
  <c r="F16" i="5"/>
  <c r="D17" i="5"/>
  <c r="E17" i="5"/>
  <c r="F17" i="5"/>
  <c r="D18" i="5"/>
  <c r="E18" i="5"/>
  <c r="F18" i="5"/>
  <c r="D19" i="5"/>
  <c r="E19" i="5"/>
  <c r="F19" i="5"/>
  <c r="D20" i="5"/>
  <c r="E20" i="5"/>
  <c r="F20" i="5"/>
  <c r="D21" i="5"/>
  <c r="E21" i="5"/>
  <c r="F21" i="5"/>
  <c r="D22" i="5"/>
  <c r="E22" i="5"/>
  <c r="F22" i="5"/>
  <c r="D23" i="5"/>
  <c r="E23" i="5"/>
  <c r="F23" i="5"/>
  <c r="D24" i="5"/>
  <c r="E24" i="5"/>
  <c r="F24" i="5"/>
  <c r="D25" i="5"/>
  <c r="E25" i="5"/>
  <c r="F25" i="5"/>
  <c r="D26" i="5"/>
  <c r="E26" i="5"/>
  <c r="F26" i="5"/>
  <c r="D27" i="5"/>
  <c r="E27" i="5"/>
  <c r="F27" i="5"/>
  <c r="D28" i="5"/>
  <c r="E28" i="5"/>
  <c r="F28" i="5"/>
  <c r="D29" i="5"/>
  <c r="E29" i="5"/>
  <c r="F29" i="5"/>
  <c r="D30" i="5"/>
  <c r="E30" i="5"/>
  <c r="F30" i="5"/>
  <c r="D31" i="5"/>
  <c r="E31" i="5"/>
  <c r="F31" i="5"/>
  <c r="D32" i="5"/>
  <c r="E32" i="5"/>
  <c r="F32" i="5"/>
  <c r="D33" i="5"/>
  <c r="E33" i="5"/>
  <c r="F33" i="5"/>
  <c r="D34" i="5"/>
  <c r="E34" i="5"/>
  <c r="F34" i="5"/>
  <c r="D35" i="5"/>
  <c r="E35" i="5"/>
  <c r="F35" i="5"/>
  <c r="D36" i="5"/>
  <c r="E36" i="5"/>
  <c r="F36" i="5"/>
  <c r="C9" i="5"/>
  <c r="C10" i="5"/>
  <c r="C11" i="5"/>
  <c r="C12" i="5"/>
  <c r="C13" i="5"/>
  <c r="C14" i="5"/>
  <c r="C15" i="5"/>
  <c r="C16" i="5"/>
  <c r="C17" i="5"/>
  <c r="C18" i="5"/>
  <c r="C19" i="5"/>
  <c r="C20" i="5"/>
  <c r="C21" i="5"/>
  <c r="C22" i="5"/>
  <c r="C23" i="5"/>
  <c r="C24" i="5"/>
  <c r="C25" i="5"/>
  <c r="C26" i="5"/>
  <c r="C27" i="5"/>
  <c r="C28" i="5"/>
  <c r="C29" i="5"/>
  <c r="C30" i="5"/>
  <c r="C31" i="5"/>
  <c r="C32" i="5"/>
  <c r="C33" i="5"/>
  <c r="C34" i="5"/>
  <c r="C35" i="5"/>
  <c r="C36" i="5"/>
  <c r="C8" i="5"/>
  <c r="C3" i="5"/>
  <c r="D3" i="5"/>
  <c r="E3" i="5" s="1"/>
  <c r="F3" i="5" s="1"/>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8" i="5"/>
  <c r="B127" i="3"/>
  <c r="B126" i="3"/>
  <c r="B115" i="3"/>
  <c r="B107" i="3"/>
  <c r="B108" i="3" s="1"/>
  <c r="B97" i="3"/>
  <c r="B96" i="3"/>
  <c r="B86" i="3"/>
  <c r="I11" i="2" s="1"/>
  <c r="H12" i="2" s="1"/>
  <c r="B84" i="3"/>
  <c r="B73" i="3"/>
  <c r="B72" i="3"/>
  <c r="B61" i="3"/>
  <c r="Z7" i="2" s="1"/>
  <c r="D29" i="2" s="1"/>
  <c r="B60" i="3"/>
  <c r="B49" i="3"/>
  <c r="B48" i="3"/>
  <c r="B37" i="3"/>
  <c r="AB6" i="2" s="1"/>
  <c r="C31" i="2" s="1"/>
  <c r="B36" i="3"/>
  <c r="B25" i="3"/>
  <c r="B17" i="3"/>
  <c r="B18" i="3" s="1"/>
  <c r="I6" i="3"/>
  <c r="H6" i="3"/>
  <c r="AB33" i="2"/>
  <c r="AA33" i="2"/>
  <c r="Z33" i="2"/>
  <c r="Y33" i="2"/>
  <c r="X33" i="2"/>
  <c r="W33" i="2"/>
  <c r="V33" i="2"/>
  <c r="U33" i="2"/>
  <c r="T33" i="2"/>
  <c r="S33" i="2"/>
  <c r="R33" i="2"/>
  <c r="Q33" i="2"/>
  <c r="P33" i="2"/>
  <c r="O33" i="2"/>
  <c r="N33" i="2"/>
  <c r="M33" i="2"/>
  <c r="L33" i="2"/>
  <c r="K33" i="2"/>
  <c r="J33" i="2"/>
  <c r="I33" i="2"/>
  <c r="G33" i="2"/>
  <c r="F33" i="2"/>
  <c r="E33" i="2"/>
  <c r="D33" i="2"/>
  <c r="C33" i="2"/>
  <c r="B33" i="2"/>
  <c r="AB32" i="2"/>
  <c r="AA32" i="2"/>
  <c r="Z32" i="2"/>
  <c r="Y32" i="2"/>
  <c r="X32" i="2"/>
  <c r="V32" i="2"/>
  <c r="U32" i="2"/>
  <c r="T32" i="2"/>
  <c r="S32" i="2"/>
  <c r="R32" i="2"/>
  <c r="Q32" i="2"/>
  <c r="P32" i="2"/>
  <c r="O32" i="2"/>
  <c r="N32" i="2"/>
  <c r="M32" i="2"/>
  <c r="L32" i="2"/>
  <c r="K32" i="2"/>
  <c r="J32" i="2"/>
  <c r="I32" i="2"/>
  <c r="H32" i="2"/>
  <c r="G32" i="2"/>
  <c r="F32" i="2"/>
  <c r="E32" i="2"/>
  <c r="D32" i="2"/>
  <c r="C32" i="2"/>
  <c r="B32" i="2"/>
  <c r="AA31" i="2"/>
  <c r="Z31" i="2"/>
  <c r="Y31" i="2"/>
  <c r="X31" i="2"/>
  <c r="W31" i="2"/>
  <c r="V31" i="2"/>
  <c r="U31" i="2"/>
  <c r="T31" i="2"/>
  <c r="S31" i="2"/>
  <c r="R31" i="2"/>
  <c r="Q31" i="2"/>
  <c r="P31" i="2"/>
  <c r="O31" i="2"/>
  <c r="N31" i="2"/>
  <c r="M31" i="2"/>
  <c r="L31" i="2"/>
  <c r="K31" i="2"/>
  <c r="J31" i="2"/>
  <c r="I31" i="2"/>
  <c r="H31" i="2"/>
  <c r="G31" i="2"/>
  <c r="F31" i="2"/>
  <c r="E31" i="2"/>
  <c r="D31" i="2"/>
  <c r="B31" i="2"/>
  <c r="Z30" i="2"/>
  <c r="Y30" i="2"/>
  <c r="X30" i="2"/>
  <c r="W30" i="2"/>
  <c r="V30" i="2"/>
  <c r="U30" i="2"/>
  <c r="T30" i="2"/>
  <c r="S30" i="2"/>
  <c r="R30" i="2"/>
  <c r="Q30" i="2"/>
  <c r="P30" i="2"/>
  <c r="O30" i="2"/>
  <c r="N30" i="2"/>
  <c r="M30" i="2"/>
  <c r="L30" i="2"/>
  <c r="K30" i="2"/>
  <c r="J30" i="2"/>
  <c r="I30" i="2"/>
  <c r="H30" i="2"/>
  <c r="G30" i="2"/>
  <c r="F30" i="2"/>
  <c r="E30" i="2"/>
  <c r="D30" i="2"/>
  <c r="C30" i="2"/>
  <c r="Y29" i="2"/>
  <c r="X29" i="2"/>
  <c r="W29" i="2"/>
  <c r="V29" i="2"/>
  <c r="U29" i="2"/>
  <c r="T29" i="2"/>
  <c r="S29" i="2"/>
  <c r="R29" i="2"/>
  <c r="Q29" i="2"/>
  <c r="P29" i="2"/>
  <c r="O29" i="2"/>
  <c r="N29" i="2"/>
  <c r="M29" i="2"/>
  <c r="L29" i="2"/>
  <c r="K29" i="2"/>
  <c r="J29" i="2"/>
  <c r="I29" i="2"/>
  <c r="H29" i="2"/>
  <c r="F29" i="2"/>
  <c r="E29" i="2"/>
  <c r="C29" i="2"/>
  <c r="B29" i="2"/>
  <c r="X28" i="2"/>
  <c r="W28" i="2"/>
  <c r="V28" i="2"/>
  <c r="U28" i="2"/>
  <c r="T28" i="2"/>
  <c r="S28" i="2"/>
  <c r="R28" i="2"/>
  <c r="Q28" i="2"/>
  <c r="P28" i="2"/>
  <c r="O28" i="2"/>
  <c r="N28" i="2"/>
  <c r="M28" i="2"/>
  <c r="L28" i="2"/>
  <c r="K28" i="2"/>
  <c r="J28" i="2"/>
  <c r="I28" i="2"/>
  <c r="H28" i="2"/>
  <c r="G28" i="2"/>
  <c r="D28" i="2"/>
  <c r="C28" i="2"/>
  <c r="B28" i="2"/>
  <c r="W27" i="2"/>
  <c r="V27" i="2"/>
  <c r="U27" i="2"/>
  <c r="T27" i="2"/>
  <c r="S27" i="2"/>
  <c r="R27" i="2"/>
  <c r="Q27" i="2"/>
  <c r="P27" i="2"/>
  <c r="O27" i="2"/>
  <c r="N27" i="2"/>
  <c r="M27" i="2"/>
  <c r="L27" i="2"/>
  <c r="K27" i="2"/>
  <c r="J27" i="2"/>
  <c r="I27" i="2"/>
  <c r="H27" i="2"/>
  <c r="G27" i="2"/>
  <c r="F27" i="2"/>
  <c r="E27" i="2"/>
  <c r="D27" i="2"/>
  <c r="C27" i="2"/>
  <c r="B27" i="2"/>
  <c r="AC26" i="2"/>
  <c r="W32" i="2" s="1"/>
  <c r="V26" i="2"/>
  <c r="U26" i="2"/>
  <c r="T26" i="2"/>
  <c r="S26" i="2"/>
  <c r="R26" i="2"/>
  <c r="Q26" i="2"/>
  <c r="P26" i="2"/>
  <c r="O26" i="2"/>
  <c r="N26" i="2"/>
  <c r="M26" i="2"/>
  <c r="L26" i="2"/>
  <c r="K26" i="2"/>
  <c r="J26" i="2"/>
  <c r="I26" i="2"/>
  <c r="H26" i="2"/>
  <c r="G26" i="2"/>
  <c r="E26" i="2"/>
  <c r="D26" i="2"/>
  <c r="C26" i="2"/>
  <c r="T25" i="2"/>
  <c r="S25" i="2"/>
  <c r="R25" i="2"/>
  <c r="Q25" i="2"/>
  <c r="P25" i="2"/>
  <c r="O25" i="2"/>
  <c r="N25" i="2"/>
  <c r="M25" i="2"/>
  <c r="L25" i="2"/>
  <c r="K25" i="2"/>
  <c r="J25" i="2"/>
  <c r="I25" i="2"/>
  <c r="H25" i="2"/>
  <c r="E25" i="2"/>
  <c r="D25" i="2"/>
  <c r="C25" i="2"/>
  <c r="B25" i="2"/>
  <c r="X24" i="2"/>
  <c r="V24" i="2"/>
  <c r="U25" i="2" s="1"/>
  <c r="T24" i="2"/>
  <c r="S24" i="2"/>
  <c r="R24" i="2"/>
  <c r="Q24" i="2"/>
  <c r="P24" i="2"/>
  <c r="O24" i="2"/>
  <c r="M24" i="2"/>
  <c r="L24" i="2"/>
  <c r="K24" i="2"/>
  <c r="J24" i="2"/>
  <c r="I24" i="2"/>
  <c r="H24" i="2"/>
  <c r="G24" i="2"/>
  <c r="F24" i="2"/>
  <c r="E24" i="2"/>
  <c r="D24" i="2"/>
  <c r="C24" i="2"/>
  <c r="B24" i="2"/>
  <c r="S23" i="2"/>
  <c r="R23" i="2"/>
  <c r="Q23" i="2"/>
  <c r="P23" i="2"/>
  <c r="O23" i="2"/>
  <c r="N23" i="2"/>
  <c r="M23" i="2"/>
  <c r="L23" i="2"/>
  <c r="K23" i="2"/>
  <c r="J23" i="2"/>
  <c r="I23" i="2"/>
  <c r="H23" i="2"/>
  <c r="G23" i="2"/>
  <c r="F23" i="2"/>
  <c r="E23" i="2"/>
  <c r="D23" i="2"/>
  <c r="C23" i="2"/>
  <c r="B23" i="2"/>
  <c r="R22" i="2"/>
  <c r="Q22" i="2"/>
  <c r="P22" i="2"/>
  <c r="O22" i="2"/>
  <c r="M22" i="2"/>
  <c r="L22" i="2"/>
  <c r="K22" i="2"/>
  <c r="J22" i="2"/>
  <c r="I22" i="2"/>
  <c r="H22" i="2"/>
  <c r="G22" i="2"/>
  <c r="F22" i="2"/>
  <c r="E22" i="2"/>
  <c r="D22" i="2"/>
  <c r="C22" i="2"/>
  <c r="B22" i="2"/>
  <c r="Q21" i="2"/>
  <c r="P21" i="2"/>
  <c r="O21" i="2"/>
  <c r="M21" i="2"/>
  <c r="L21" i="2"/>
  <c r="K21" i="2"/>
  <c r="J21" i="2"/>
  <c r="I21" i="2"/>
  <c r="H21" i="2"/>
  <c r="G21" i="2"/>
  <c r="F21" i="2"/>
  <c r="E21" i="2"/>
  <c r="D21" i="2"/>
  <c r="C21" i="2"/>
  <c r="B21" i="2"/>
  <c r="P20" i="2"/>
  <c r="O20" i="2"/>
  <c r="M20" i="2"/>
  <c r="L20" i="2"/>
  <c r="K20" i="2"/>
  <c r="J20" i="2"/>
  <c r="I20" i="2"/>
  <c r="H20" i="2"/>
  <c r="G20" i="2"/>
  <c r="F20" i="2"/>
  <c r="E20" i="2"/>
  <c r="D20" i="2"/>
  <c r="C20" i="2"/>
  <c r="B20" i="2"/>
  <c r="O19" i="2"/>
  <c r="N19" i="2"/>
  <c r="M19" i="2"/>
  <c r="L19" i="2"/>
  <c r="K19" i="2"/>
  <c r="J19" i="2"/>
  <c r="I19" i="2"/>
  <c r="H19" i="2"/>
  <c r="G19" i="2"/>
  <c r="F19" i="2"/>
  <c r="E19" i="2"/>
  <c r="D19" i="2"/>
  <c r="C19" i="2"/>
  <c r="B19" i="2"/>
  <c r="N18" i="2"/>
  <c r="M18" i="2"/>
  <c r="L18" i="2"/>
  <c r="K18" i="2"/>
  <c r="J18" i="2"/>
  <c r="I18" i="2"/>
  <c r="H18" i="2"/>
  <c r="G18" i="2"/>
  <c r="F18" i="2"/>
  <c r="E18" i="2"/>
  <c r="D18" i="2"/>
  <c r="C18" i="2"/>
  <c r="B18" i="2"/>
  <c r="U17" i="2"/>
  <c r="N24" i="2" s="1"/>
  <c r="T17" i="2"/>
  <c r="S17" i="2"/>
  <c r="N22" i="2" s="1"/>
  <c r="R17" i="2"/>
  <c r="N21" i="2" s="1"/>
  <c r="Q17" i="2"/>
  <c r="N20" i="2" s="1"/>
  <c r="P17" i="2"/>
  <c r="O17" i="2"/>
  <c r="L17" i="2"/>
  <c r="K17" i="2"/>
  <c r="J17" i="2"/>
  <c r="I17" i="2"/>
  <c r="H17" i="2"/>
  <c r="G17" i="2"/>
  <c r="F17" i="2"/>
  <c r="C17" i="2"/>
  <c r="B17" i="2"/>
  <c r="N16" i="2"/>
  <c r="M17" i="2" s="1"/>
  <c r="L16" i="2"/>
  <c r="K16" i="2"/>
  <c r="J16" i="2"/>
  <c r="I16" i="2"/>
  <c r="H16" i="2"/>
  <c r="G16" i="2"/>
  <c r="F16" i="2"/>
  <c r="E16" i="2"/>
  <c r="D16" i="2"/>
  <c r="C16" i="2"/>
  <c r="B16" i="2"/>
  <c r="K15" i="2"/>
  <c r="J15" i="2"/>
  <c r="I15" i="2"/>
  <c r="G15" i="2"/>
  <c r="F15" i="2"/>
  <c r="E15" i="2"/>
  <c r="D15" i="2"/>
  <c r="C15" i="2"/>
  <c r="B15" i="2"/>
  <c r="J14" i="2"/>
  <c r="I14" i="2"/>
  <c r="G14" i="2"/>
  <c r="F14" i="2"/>
  <c r="E14" i="2"/>
  <c r="D14" i="2"/>
  <c r="C14" i="2"/>
  <c r="B14" i="2"/>
  <c r="I13" i="2"/>
  <c r="G13" i="2"/>
  <c r="F13" i="2"/>
  <c r="E13" i="2"/>
  <c r="D13" i="2"/>
  <c r="C13" i="2"/>
  <c r="B13" i="2"/>
  <c r="G12" i="2"/>
  <c r="F12" i="2"/>
  <c r="E12" i="2"/>
  <c r="D12" i="2"/>
  <c r="C12" i="2"/>
  <c r="B12" i="2"/>
  <c r="AD11" i="2"/>
  <c r="H33" i="2" s="1"/>
  <c r="K11" i="2"/>
  <c r="H14" i="2" s="1"/>
  <c r="J11" i="2"/>
  <c r="H13" i="2" s="1"/>
  <c r="G11" i="2"/>
  <c r="F11" i="2"/>
  <c r="E11" i="2"/>
  <c r="Z10" i="2"/>
  <c r="G29" i="2" s="1"/>
  <c r="W10" i="2"/>
  <c r="F10" i="2"/>
  <c r="E10" i="2"/>
  <c r="D10" i="2"/>
  <c r="Y9" i="2"/>
  <c r="F28" i="2" s="1"/>
  <c r="W9" i="2"/>
  <c r="F26" i="2" s="1"/>
  <c r="E9" i="2"/>
  <c r="D9" i="2"/>
  <c r="Y8" i="2"/>
  <c r="E28" i="2" s="1"/>
  <c r="H8" i="2"/>
  <c r="D8" i="2"/>
  <c r="H7" i="2"/>
  <c r="D11" i="2" s="1"/>
  <c r="W6" i="2"/>
  <c r="H6" i="2"/>
  <c r="C11" i="2" s="1"/>
  <c r="B6" i="2"/>
  <c r="W5" i="2"/>
  <c r="B26" i="2" s="1"/>
  <c r="H5" i="2"/>
  <c r="B11" i="2" s="1"/>
  <c r="N8" i="2" l="1"/>
  <c r="E17" i="2" s="1"/>
  <c r="V10" i="2"/>
  <c r="G25" i="2" s="1"/>
  <c r="V9" i="2"/>
  <c r="F25" i="2" s="1"/>
  <c r="N7" i="2"/>
  <c r="D17" i="2" s="1"/>
  <c r="G6" i="2"/>
  <c r="C10" i="2" s="1"/>
  <c r="G5" i="2"/>
  <c r="B10" i="2" s="1"/>
  <c r="F5" i="2"/>
  <c r="B9" i="2" s="1"/>
  <c r="E5" i="2"/>
  <c r="B8" i="2" s="1"/>
  <c r="D6" i="2"/>
  <c r="C7" i="2" s="1"/>
  <c r="D5" i="2"/>
  <c r="B7" i="2" s="1"/>
  <c r="F6" i="2"/>
  <c r="C9" i="2" s="1"/>
  <c r="E6" i="2"/>
  <c r="C8" i="2" s="1"/>
  <c r="AA5" i="2"/>
  <c r="B30" i="2" s="1"/>
  <c r="L11" i="2"/>
  <c r="H1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4" authorId="0" shapeId="0" xr:uid="{00000000-0006-0000-0000-000001000000}">
      <text>
        <r>
          <rPr>
            <sz val="11"/>
            <color theme="1"/>
            <rFont val="Calibri"/>
            <family val="2"/>
            <scheme val="minor"/>
          </rPr>
          <t>Thermal capacitance
======</t>
        </r>
      </text>
    </comment>
    <comment ref="G4" authorId="0" shapeId="0" xr:uid="{00000000-0006-0000-0000-000002000000}">
      <text>
        <r>
          <rPr>
            <sz val="11"/>
            <color theme="1"/>
            <rFont val="Calibri"/>
            <family val="2"/>
            <scheme val="minor"/>
          </rPr>
          <t>Thermal conductivity
======</t>
        </r>
      </text>
    </comment>
    <comment ref="H4" authorId="0" shapeId="0" xr:uid="{00000000-0006-0000-0000-000003000000}">
      <text>
        <r>
          <rPr>
            <sz val="11"/>
            <color theme="1"/>
            <rFont val="Calibri"/>
            <family val="2"/>
            <scheme val="minor"/>
          </rPr>
          <t>Young Modulus
======</t>
        </r>
      </text>
    </comment>
    <comment ref="K4" authorId="0" shapeId="0" xr:uid="{00000000-0006-0000-0000-000004000000}">
      <text>
        <r>
          <rPr>
            <sz val="11"/>
            <color theme="1"/>
            <rFont val="Calibri"/>
            <family val="2"/>
            <scheme val="minor"/>
          </rPr>
          <t>Distancia entre los centros de cada nodo (distancia recorrida por el flujo del calor)
======
ID#AAAAaj4eTTY
Laura Feria del Rosario    (2022-06-04 13:55:37)
no entiendo</t>
        </r>
      </text>
    </comment>
    <comment ref="L4" authorId="0" shapeId="0" xr:uid="{00000000-0006-0000-0000-000005000000}">
      <text>
        <r>
          <rPr>
            <sz val="11"/>
            <color theme="1"/>
            <rFont val="Calibri"/>
            <family val="2"/>
            <scheme val="minor"/>
          </rPr>
          <t>Superficie que queda expuesta a la luz solar.
======
ID#AAAAZdRQ90w
Laura Feria del Rosario    (2022-05-22 21:04:23)
Recalcular</t>
        </r>
      </text>
    </comment>
    <comment ref="M4" authorId="0" shapeId="0" xr:uid="{00000000-0006-0000-0000-000006000000}">
      <text>
        <r>
          <rPr>
            <sz val="11"/>
            <color theme="1"/>
            <rFont val="Calibri"/>
            <family val="2"/>
            <scheme val="minor"/>
          </rPr>
          <t>Vector normal a la superficie (para la incidencia solar)
======
ID#AAAAaj4eTTo
Laura Feria del Rosario    (2022-06-04 14:02:02)
sólo para los que den al exterior?</t>
        </r>
      </text>
    </comment>
    <comment ref="N4" authorId="0" shapeId="0" xr:uid="{00000000-0006-0000-0000-000007000000}">
      <text>
        <r>
          <rPr>
            <sz val="11"/>
            <color theme="1"/>
            <rFont val="Calibri"/>
            <family val="2"/>
            <scheme val="minor"/>
          </rPr>
          <t>Emisividad en infrarrojo
======
ID#AAAAaj4eTTg
Laura Feria del Rosario    (2022-06-04 14:00:33)
sólo para los que den al exterior?</t>
        </r>
      </text>
    </comment>
    <comment ref="O4" authorId="0" shapeId="0" xr:uid="{00000000-0006-0000-0000-000008000000}">
      <text>
        <r>
          <rPr>
            <sz val="11"/>
            <color theme="1"/>
            <rFont val="Calibri"/>
            <family val="2"/>
            <scheme val="minor"/>
          </rPr>
          <t>absortividad (en solar)
======
ID#AAAAaj4eTTk
Laura Feria del Rosario    (2022-06-04 14:00:38)
sólo para los que den al exterior?</t>
        </r>
      </text>
    </comment>
    <comment ref="P4" authorId="0" shapeId="0" xr:uid="{00000000-0006-0000-0000-000009000000}">
      <text>
        <r>
          <rPr>
            <sz val="11"/>
            <color theme="1"/>
            <rFont val="Calibri"/>
            <family val="2"/>
            <scheme val="minor"/>
          </rPr>
          <t>nodos con los que esta conectado el nodo en cuestión. El nodo 0 es el espacio exterior
======</t>
        </r>
      </text>
    </comment>
    <comment ref="Q4" authorId="0" shapeId="0" xr:uid="{00000000-0006-0000-0000-00000A000000}">
      <text>
        <r>
          <rPr>
            <sz val="11"/>
            <color theme="1"/>
            <rFont val="Calibri"/>
            <family val="2"/>
            <scheme val="minor"/>
          </rPr>
          <t>Calor generado
======</t>
        </r>
      </text>
    </comment>
    <comment ref="Q33" authorId="0" shapeId="0" xr:uid="{00000000-0006-0000-0000-00000B000000}">
      <text>
        <r>
          <rPr>
            <sz val="11"/>
            <color theme="1"/>
            <rFont val="Calibri"/>
            <family val="2"/>
            <scheme val="minor"/>
          </rPr>
          <t>======
ID#AAAAZgExsII
Javier González Vilar    (2022-05-23 14:27:20)
@teidesat29@ull.edu.es
cual es la generación de calor del eps de alta?
_Asignado a Juan Francisco Hernández Cabrera_</t>
        </r>
      </text>
    </comment>
    <comment ref="D40" authorId="0" shapeId="0" xr:uid="{42EEAE3D-C9E1-4214-929A-32E846AA4EE3}">
      <text>
        <r>
          <rPr>
            <sz val="11"/>
            <color theme="1"/>
            <rFont val="Calibri"/>
            <family val="2"/>
            <scheme val="minor"/>
          </rPr>
          <t>Thermal capacitance
======</t>
        </r>
      </text>
    </comment>
    <comment ref="E40" authorId="0" shapeId="0" xr:uid="{7311E67F-6B54-428D-9549-C49AA7473EA0}">
      <text>
        <r>
          <rPr>
            <sz val="11"/>
            <color theme="1"/>
            <rFont val="Calibri"/>
            <family val="2"/>
            <scheme val="minor"/>
          </rPr>
          <t>Superficie que queda expuesta a la luz solar.
======
ID#AAAAZdRQ90w
Laura Feria del Rosario    (2022-05-22 21:04:23)
Recalcular</t>
        </r>
      </text>
    </comment>
    <comment ref="F40" authorId="0" shapeId="0" xr:uid="{D569FC78-257C-4A40-9FA5-D0BC220C126F}">
      <text>
        <r>
          <rPr>
            <sz val="11"/>
            <color theme="1"/>
            <rFont val="Calibri"/>
            <family val="2"/>
            <scheme val="minor"/>
          </rPr>
          <t>Vector normal a la superficie (para la incidencia solar)
======
ID#AAAAaj4eTTo
Laura Feria del Rosario    (2022-06-04 14:02:02)
sólo para los que den al exterior?</t>
        </r>
      </text>
    </comment>
    <comment ref="G40" authorId="0" shapeId="0" xr:uid="{63CD2D35-E740-4BC5-AD94-0011FDC1958E}">
      <text>
        <r>
          <rPr>
            <sz val="11"/>
            <color theme="1"/>
            <rFont val="Calibri"/>
            <family val="2"/>
            <scheme val="minor"/>
          </rPr>
          <t>Emisividad en infrarrojo
======
ID#AAAAaj4eTTg
Laura Feria del Rosario    (2022-06-04 14:00:33)
sólo para los que den al exterior?</t>
        </r>
      </text>
    </comment>
    <comment ref="H40" authorId="0" shapeId="0" xr:uid="{54068593-D059-4EF2-94ED-E167393A18BF}">
      <text>
        <r>
          <rPr>
            <sz val="11"/>
            <color theme="1"/>
            <rFont val="Calibri"/>
            <family val="2"/>
            <scheme val="minor"/>
          </rPr>
          <t>absortividad (en solar)
======
ID#AAAAaj4eTTk
Laura Feria del Rosario    (2022-06-04 14:00:38)
sólo para los que den al exterior?</t>
        </r>
      </text>
    </comment>
    <comment ref="I40" authorId="0" shapeId="0" xr:uid="{0A3720CD-F152-4FFB-B14B-9BAC8D342C07}">
      <text>
        <r>
          <rPr>
            <sz val="11"/>
            <color theme="1"/>
            <rFont val="Calibri"/>
            <family val="2"/>
            <scheme val="minor"/>
          </rPr>
          <t>nodos con los que esta conectado el nodo en cuestión. El nodo 0 es el espacio exterior
======</t>
        </r>
      </text>
    </comment>
    <comment ref="J40" authorId="0" shapeId="0" xr:uid="{ACE908E4-D0E6-4F6E-A766-07EECCD44709}">
      <text>
        <r>
          <rPr>
            <sz val="11"/>
            <color theme="1"/>
            <rFont val="Calibri"/>
            <family val="2"/>
            <scheme val="minor"/>
          </rPr>
          <t>Calor generado
======</t>
        </r>
      </text>
    </comment>
    <comment ref="K40" authorId="0" shapeId="0" xr:uid="{5316AA06-C0CB-419C-943B-78A2DE5EDAFA}">
      <text>
        <r>
          <rPr>
            <sz val="11"/>
            <color theme="1"/>
            <rFont val="Calibri"/>
            <family val="2"/>
            <scheme val="minor"/>
          </rPr>
          <t>Thermal conductivity
======</t>
        </r>
      </text>
    </comment>
    <comment ref="L40" authorId="0" shapeId="0" xr:uid="{3BCC13AD-C8CA-4005-9AA7-FCDD0022CC70}">
      <text>
        <r>
          <rPr>
            <sz val="11"/>
            <color theme="1"/>
            <rFont val="Calibri"/>
            <family val="2"/>
            <scheme val="minor"/>
          </rPr>
          <t>Distancia entre los centros de cada nodo (distancia recorrida por el flujo del calor)
======
ID#AAAAaj4eTTY
Laura Feria del Rosario    (2022-06-04 13:55:37)
no entiendo</t>
        </r>
      </text>
    </comment>
    <comment ref="J69" authorId="0" shapeId="0" xr:uid="{4DF5F109-BBD4-4683-8B2A-3BFB0D97FD28}">
      <text>
        <r>
          <rPr>
            <sz val="11"/>
            <color theme="1"/>
            <rFont val="Calibri"/>
            <family val="2"/>
            <scheme val="minor"/>
          </rPr>
          <t>======
ID#AAAAZgExsII
Javier González Vilar    (2022-05-23 14:27:20)
@teidesat29@ull.edu.es
cual es la generación de calor del eps de alta?
_Asignado a Juan Francisco Hernández Cabrera_</t>
        </r>
      </text>
    </comment>
  </commentList>
  <extLst>
    <ext xmlns:r="http://schemas.openxmlformats.org/officeDocument/2006/relationships" uri="GoogleSheetsCustomDataVersion1">
      <go:sheetsCustomData xmlns:go="http://customooxmlschemas.google.com/" r:id="rId1" roundtripDataSignature="AMtx7mh3c3TISmxpkygTpS018eobjkyXd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6" authorId="0" shapeId="0" xr:uid="{00000000-0006-0000-0200-000001000000}">
      <text>
        <r>
          <rPr>
            <sz val="11"/>
            <color theme="1"/>
            <rFont val="Calibri"/>
            <family val="2"/>
            <scheme val="minor"/>
          </rPr>
          <t>Interpolated values
======</t>
        </r>
      </text>
    </comment>
    <comment ref="B63" authorId="0" shapeId="0" xr:uid="{00000000-0006-0000-0200-000002000000}">
      <text>
        <r>
          <rPr>
            <sz val="11"/>
            <color theme="1"/>
            <rFont val="Calibri"/>
            <family val="2"/>
            <scheme val="minor"/>
          </rPr>
          <t>======
ID#AAAAeymtBRw
Laura Feria del Rosario    (2022-08-18 18:56:14)
Suposiciones, dado que no se conoce el diseño del eps de alta</t>
        </r>
      </text>
    </comment>
  </commentList>
  <extLst>
    <ext xmlns:r="http://schemas.openxmlformats.org/officeDocument/2006/relationships" uri="GoogleSheetsCustomDataVersion1">
      <go:sheetsCustomData xmlns:go="http://customooxmlschemas.google.com/" r:id="rId1" roundtripDataSignature="AMtx7mhD+2OnKNw9tH2DLyvcV9Fn7OM7zg=="/>
    </ext>
  </extLst>
</comments>
</file>

<file path=xl/sharedStrings.xml><?xml version="1.0" encoding="utf-8"?>
<sst xmlns="http://schemas.openxmlformats.org/spreadsheetml/2006/main" count="787" uniqueCount="268">
  <si>
    <t>Esta tabla representado el struct con todos los datos de entrada que uso para el satélite,¿que le falta? pues el coeficiente Cp (specific heat capacity ) esta bastamente aproximado y habría que mirar material por material, puede que algo de info útil pueda ser encontrada en la tabla de mecánica</t>
  </si>
  <si>
    <t>Un nodo es un objeto del satelite considerado isotermo (misma temperatura) ergo es como si el satelite fuera un monton de puntos que estan conetcados entre ellos como indica la columna coupling. El nodo 0 es el espacio exterior.</t>
  </si>
  <si>
    <t>Nodes working at each mode</t>
  </si>
  <si>
    <t>Node number</t>
  </si>
  <si>
    <t>name</t>
  </si>
  <si>
    <t>Product Tree code</t>
  </si>
  <si>
    <t>m [kg]</t>
  </si>
  <si>
    <t>Material</t>
  </si>
  <si>
    <t>Cp [J/kgK]</t>
  </si>
  <si>
    <t>k [W/(m*K)]</t>
  </si>
  <si>
    <t>E [Pa]</t>
  </si>
  <si>
    <t>Poisson's Ratio</t>
  </si>
  <si>
    <t>Surface
roughness [m]</t>
  </si>
  <si>
    <t>L [m]</t>
  </si>
  <si>
    <t>A [m2]</t>
  </si>
  <si>
    <t>n</t>
  </si>
  <si>
    <t>e</t>
  </si>
  <si>
    <t>a2</t>
  </si>
  <si>
    <t>coupling</t>
  </si>
  <si>
    <t>qgen [W]</t>
  </si>
  <si>
    <t>reorientation mode</t>
  </si>
  <si>
    <t>payload mode</t>
  </si>
  <si>
    <t>radio</t>
  </si>
  <si>
    <t>idle</t>
  </si>
  <si>
    <t>radio mode</t>
  </si>
  <si>
    <t>node 1</t>
  </si>
  <si>
    <t>'Frame 1, +X'</t>
  </si>
  <si>
    <t>11 04 010</t>
  </si>
  <si>
    <t>AL6061 T6</t>
  </si>
  <si>
    <t>[]</t>
  </si>
  <si>
    <t>[1;0;0]</t>
  </si>
  <si>
    <t>[0,3,4,5,6,7,22,26]</t>
  </si>
  <si>
    <t>node 2</t>
  </si>
  <si>
    <t>'Frame 2, -X'</t>
  </si>
  <si>
    <t>[-1;0;0]</t>
  </si>
  <si>
    <t>[0,3,4,5,6,7,22,27]</t>
  </si>
  <si>
    <t>node 3</t>
  </si>
  <si>
    <t>'Beam -Y +Z'</t>
  </si>
  <si>
    <t>11 04 030</t>
  </si>
  <si>
    <t>[0;-1;1]</t>
  </si>
  <si>
    <t>[1,2,7,13,25]</t>
  </si>
  <si>
    <t>node 4</t>
  </si>
  <si>
    <t>'Beam +Y +Z'</t>
  </si>
  <si>
    <t>11 04 050</t>
  </si>
  <si>
    <t>[0;1;1]</t>
  </si>
  <si>
    <t>[1,2,7,13,24]</t>
  </si>
  <si>
    <t>node 5</t>
  </si>
  <si>
    <t>'Beam +Y -Z'</t>
  </si>
  <si>
    <t>11 04 040</t>
  </si>
  <si>
    <t>[0;1;-1]</t>
  </si>
  <si>
    <t>[1,2,21,22,24]</t>
  </si>
  <si>
    <t>node 6</t>
  </si>
  <si>
    <t>'Beam -Y -Z'</t>
  </si>
  <si>
    <t>11 04 020</t>
  </si>
  <si>
    <t>[0;-1;-1]</t>
  </si>
  <si>
    <t>[1,2,21,22,25]</t>
  </si>
  <si>
    <t>node 7</t>
  </si>
  <si>
    <t>'panel +Z, payload plate '</t>
  </si>
  <si>
    <t>11 01 010</t>
  </si>
  <si>
    <t>[0;0;1]</t>
  </si>
  <si>
    <t>[0,1,2,3,4,8,9,10,11,29]</t>
  </si>
  <si>
    <t>node 8</t>
  </si>
  <si>
    <t>'LED 1 '</t>
  </si>
  <si>
    <t>11 01 020</t>
  </si>
  <si>
    <t>LEDs material</t>
  </si>
  <si>
    <t>[0,7]</t>
  </si>
  <si>
    <t>x</t>
  </si>
  <si>
    <t>node 9</t>
  </si>
  <si>
    <t>'LED 2'</t>
  </si>
  <si>
    <t>node 10</t>
  </si>
  <si>
    <t>'LED 3'</t>
  </si>
  <si>
    <t>node 11</t>
  </si>
  <si>
    <t>'LED 4 '</t>
  </si>
  <si>
    <t>node 12</t>
  </si>
  <si>
    <t>'Node 12, BMS'</t>
  </si>
  <si>
    <t>11 06 053</t>
  </si>
  <si>
    <t>PCB Material (FR4)</t>
  </si>
  <si>
    <t>[13]</t>
  </si>
  <si>
    <t>node 13</t>
  </si>
  <si>
    <t>'Node 13, Batteries Isolation'</t>
  </si>
  <si>
    <t>11 06 054</t>
  </si>
  <si>
    <t>Batteries Insultation Mat</t>
  </si>
  <si>
    <t>[3,4,12,14,15,16,17,18,19,20]</t>
  </si>
  <si>
    <t>node 14</t>
  </si>
  <si>
    <t>'Node 14, LiFePo4 1'</t>
  </si>
  <si>
    <t>11 06 051</t>
  </si>
  <si>
    <t>LiFePO4</t>
  </si>
  <si>
    <t>node 15</t>
  </si>
  <si>
    <t>'Node 15, LiFePo4 3'</t>
  </si>
  <si>
    <t>node 16</t>
  </si>
  <si>
    <t>'Node 16, LiFePo4 2'</t>
  </si>
  <si>
    <t>node 17</t>
  </si>
  <si>
    <t>'Node 17, LiFePo4 4'</t>
  </si>
  <si>
    <t>node 18</t>
  </si>
  <si>
    <t>'Node 18, Cell Litio 1'</t>
  </si>
  <si>
    <t>11 06 052</t>
  </si>
  <si>
    <t>Li Ion</t>
  </si>
  <si>
    <t>node 19</t>
  </si>
  <si>
    <t>'Node 19, Cell Litio 2'</t>
  </si>
  <si>
    <t>node 20</t>
  </si>
  <si>
    <t>'Node 20, LoMo'</t>
  </si>
  <si>
    <t>11 08 010</t>
  </si>
  <si>
    <t>[13,21,23]</t>
  </si>
  <si>
    <t>node 21</t>
  </si>
  <si>
    <t>'Node 21, Transceiver(Tx-Rx)'</t>
  </si>
  <si>
    <t>11 05 010</t>
  </si>
  <si>
    <t>[5,6,20]</t>
  </si>
  <si>
    <t>node 22</t>
  </si>
  <si>
    <t>'Node 22, Antena module'</t>
  </si>
  <si>
    <t>11 05 021</t>
  </si>
  <si>
    <t>Antennas material</t>
  </si>
  <si>
    <t>[1,2,5,6,28]</t>
  </si>
  <si>
    <t>node 23</t>
  </si>
  <si>
    <t>'Node 23, OBC'</t>
  </si>
  <si>
    <t>11 03 000</t>
  </si>
  <si>
    <t>[20]</t>
  </si>
  <si>
    <t>node 24</t>
  </si>
  <si>
    <t>'Node 24, Solar Panel (Y)'</t>
  </si>
  <si>
    <t>11 06 030</t>
  </si>
  <si>
    <t>Solar panels material</t>
  </si>
  <si>
    <t>[0;1;0]</t>
  </si>
  <si>
    <t>[0,4,5]</t>
  </si>
  <si>
    <t>node 25</t>
  </si>
  <si>
    <t>'Node 25, Solar Panel (-Y)'</t>
  </si>
  <si>
    <t>11 06 010</t>
  </si>
  <si>
    <t>[0;-1;0]</t>
  </si>
  <si>
    <t>[0,3,6]</t>
  </si>
  <si>
    <t>node 26</t>
  </si>
  <si>
    <t>Node 26, Solar Panel (X)RBF'</t>
  </si>
  <si>
    <t>11 06 040</t>
  </si>
  <si>
    <t>[0,1]</t>
  </si>
  <si>
    <t>node 27</t>
  </si>
  <si>
    <t>Node 27, Solar Panel (-X)'</t>
  </si>
  <si>
    <t>[0,2]</t>
  </si>
  <si>
    <t>node 28</t>
  </si>
  <si>
    <t>'Node 28, Solar Panel (-Z(antenna))'</t>
  </si>
  <si>
    <t>11 05 020</t>
  </si>
  <si>
    <t>[0;0;-1]</t>
  </si>
  <si>
    <t>[0,22]</t>
  </si>
  <si>
    <t>node 29</t>
  </si>
  <si>
    <t>Node 29 , sub eps alta</t>
  </si>
  <si>
    <t>11 06 060</t>
  </si>
  <si>
    <t>[7]</t>
  </si>
  <si>
    <t>Explanation</t>
  </si>
  <si>
    <t>En este excel se puede ver la matriz K, que es básicamente cual es la conductancia [W/K] entre los nodos que conectan, los nodos que n ose tocan tienen valor 0 aquí, estos números los he tirado de forma estimada, pero hay que estudiar cada uno con cuidado</t>
  </si>
  <si>
    <t>conductances [W/K]</t>
  </si>
  <si>
    <t>Contact types</t>
  </si>
  <si>
    <t>Lockheed Martin Bolted-Joint Resistance Data</t>
  </si>
  <si>
    <t>Alpha</t>
  </si>
  <si>
    <t>Bolt and filler are between parts. Resistances are in pararell.</t>
  </si>
  <si>
    <t>Plate Thickness [mm]</t>
  </si>
  <si>
    <t>Beta</t>
  </si>
  <si>
    <t>Only bolt conductance/resistance is considered as thermal path between parts.</t>
  </si>
  <si>
    <t>Bolt diameter [mm]</t>
  </si>
  <si>
    <t>Gamma</t>
  </si>
  <si>
    <t>No bolt or filler, simple contact resistance.</t>
  </si>
  <si>
    <t>-</t>
  </si>
  <si>
    <t>Delta</t>
  </si>
  <si>
    <t>Only filler between parts.</t>
  </si>
  <si>
    <t>Contact A</t>
  </si>
  <si>
    <t>Frame + beam</t>
  </si>
  <si>
    <t>Contact type</t>
  </si>
  <si>
    <t>Nodes pairs</t>
  </si>
  <si>
    <t>(1-3, 1-4, 1-5, 1-6, 2-3, 2-4, 2-5, 2-6)</t>
  </si>
  <si>
    <t>Bolts per contact</t>
  </si>
  <si>
    <t>Bolt metric</t>
  </si>
  <si>
    <t>M3</t>
  </si>
  <si>
    <t>Plate thickness [mm]</t>
  </si>
  <si>
    <t>4 &amp; 2</t>
  </si>
  <si>
    <t>Table plate thickness [mm]</t>
  </si>
  <si>
    <t>Resistance per bolt [K/W]</t>
  </si>
  <si>
    <t>Conductance per bolt [W/K]</t>
  </si>
  <si>
    <t>Contact conductance [W/K]</t>
  </si>
  <si>
    <t>Contact B</t>
  </si>
  <si>
    <t>Frame + Z panel</t>
  </si>
  <si>
    <t>(1-7, 1-22, 2-7, 2-22)</t>
  </si>
  <si>
    <t>h [W/m2K]</t>
  </si>
  <si>
    <t>Contact C</t>
  </si>
  <si>
    <t>Frame + lateral solar panel</t>
  </si>
  <si>
    <t>(1-26,  2-27)</t>
  </si>
  <si>
    <t>2 &amp; 1,6</t>
  </si>
  <si>
    <t>Resistances in pararell are sumed.</t>
  </si>
  <si>
    <t>Contact D</t>
  </si>
  <si>
    <t>Beam + Z panel</t>
  </si>
  <si>
    <t>(3-7, 4-7, 5-22, 6-22)</t>
  </si>
  <si>
    <t>2 &amp; 1</t>
  </si>
  <si>
    <t>Contact E</t>
  </si>
  <si>
    <t>Beam + lateral solar panel</t>
  </si>
  <si>
    <t>(3-25, 4-24, 5-24, 6-25)</t>
  </si>
  <si>
    <t>Contact F</t>
  </si>
  <si>
    <t>Payload plate + EPS alta</t>
  </si>
  <si>
    <t>(7-29)</t>
  </si>
  <si>
    <t>?</t>
  </si>
  <si>
    <t>M2.5</t>
  </si>
  <si>
    <t>Contact G</t>
  </si>
  <si>
    <t>Payload plate + LEDs</t>
  </si>
  <si>
    <t>(7-8, 7-9, 7-10, 7-11)</t>
  </si>
  <si>
    <t>1 &amp; 1,15</t>
  </si>
  <si>
    <t>h filler [W/m2K]</t>
  </si>
  <si>
    <t>Contact H</t>
  </si>
  <si>
    <t>Rods connections</t>
  </si>
  <si>
    <t>(12-13, 13-20, 20-21, 20-23)</t>
  </si>
  <si>
    <t>Contact J</t>
  </si>
  <si>
    <t>Beam + Batteries insulation/Transceiver</t>
  </si>
  <si>
    <t>(3-13, 4-13, 5-21, 6-21)</t>
  </si>
  <si>
    <t>4 &amp; 1.57</t>
  </si>
  <si>
    <t>Contact K</t>
  </si>
  <si>
    <t>Batteries + Insulation</t>
  </si>
  <si>
    <t>(13-14, 13-15, 13-16, 13-17, 13-18, 13-19)</t>
  </si>
  <si>
    <t>Contact L</t>
  </si>
  <si>
    <t>Antenna module + solar panel Z</t>
  </si>
  <si>
    <t>(22-28)</t>
  </si>
  <si>
    <t>1 &amp; 1</t>
  </si>
  <si>
    <t>L</t>
  </si>
  <si>
    <t>Frame 1, +X</t>
  </si>
  <si>
    <t>Frame 2, -X</t>
  </si>
  <si>
    <t>Beam -Y +Z</t>
  </si>
  <si>
    <t>Beam +Y +Z</t>
  </si>
  <si>
    <t>Beam +Y -Z</t>
  </si>
  <si>
    <t>Beam -Y -Z</t>
  </si>
  <si>
    <t xml:space="preserve">panel +Z, payload plate </t>
  </si>
  <si>
    <t xml:space="preserve">LED 1 </t>
  </si>
  <si>
    <t>LED 2</t>
  </si>
  <si>
    <t>LED 3</t>
  </si>
  <si>
    <t xml:space="preserve">LED 4 </t>
  </si>
  <si>
    <t>Node 12, BMS</t>
  </si>
  <si>
    <t>Node 13, Batteries Isolation</t>
  </si>
  <si>
    <t>Node 14, LiFePo4 1</t>
  </si>
  <si>
    <t>Node 15, LiFePo4 3</t>
  </si>
  <si>
    <t>Node 16, LiFePo4 2</t>
  </si>
  <si>
    <t>Node 17, LiFePo4 4</t>
  </si>
  <si>
    <t>Node 18, Cell Litio 1</t>
  </si>
  <si>
    <t>Node 19, Cell Litio 2</t>
  </si>
  <si>
    <t>Node 20, LoMo</t>
  </si>
  <si>
    <t>Node 21, Transceiver(Tx-Rx)</t>
  </si>
  <si>
    <t>Node 22, Antena module</t>
  </si>
  <si>
    <t>Node 23, OBC</t>
  </si>
  <si>
    <t>Node 24, Solar Panel (Y)</t>
  </si>
  <si>
    <t>Node 25, Solar Panel (-Y)</t>
  </si>
  <si>
    <t>Node 26, Solar Panel (X)</t>
  </si>
  <si>
    <t>Node 27, Solar Panel (-X)RBF</t>
  </si>
  <si>
    <t>Node 28, Solar Panel (-Z(antenna))</t>
  </si>
  <si>
    <t>Node 29, EPS de alta</t>
  </si>
  <si>
    <t>Emisivity</t>
  </si>
  <si>
    <t>Absorptivity</t>
  </si>
  <si>
    <t>Mass (kg)</t>
  </si>
  <si>
    <t>Specific Heat (J/(kg*K))</t>
  </si>
  <si>
    <t>Radiative area (m2)</t>
  </si>
  <si>
    <t>Thermal conductivity (W/(mK))</t>
  </si>
  <si>
    <t>Norm x</t>
  </si>
  <si>
    <t>Norm y</t>
  </si>
  <si>
    <t>Norm z</t>
  </si>
  <si>
    <t>Name</t>
  </si>
  <si>
    <t>Time</t>
  </si>
  <si>
    <t>Hours</t>
  </si>
  <si>
    <t>Minutes</t>
  </si>
  <si>
    <t>Seconds</t>
  </si>
  <si>
    <t>Mode</t>
  </si>
  <si>
    <t>High Power</t>
  </si>
  <si>
    <t>Low Power</t>
  </si>
  <si>
    <t>Off</t>
  </si>
  <si>
    <t>Days</t>
  </si>
  <si>
    <t>Radiates? 1=Yes, 0=No</t>
  </si>
  <si>
    <t>dt (s)</t>
  </si>
  <si>
    <t>Starting temperature (K)</t>
  </si>
  <si>
    <t>Vacuum temperature (K)</t>
  </si>
  <si>
    <t>Solar radiation and albedo (1=Yes, 0=No)</t>
  </si>
  <si>
    <t>Radiation to enviroment (1=Yes, 0=No)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</si>
</sst>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0.000"/>
    <numFmt numFmtId="166" formatCode="#,##0.000000"/>
    <numFmt numFmtId="167" formatCode="0.00000"/>
  </numFmts>
  <fonts count="11">
    <font>
      <sz val="11"/>
      <color theme="1"/>
      <name val="Calibri"/>
      <scheme val="minor"/>
    </font>
    <font>
      <sz val="11"/>
      <color theme="1"/>
      <name val="Calibri"/>
      <family val="2"/>
      <scheme val="minor"/>
    </font>
    <font>
      <sz val="11"/>
      <color theme="1"/>
      <name val="Calibri"/>
      <family val="2"/>
      <scheme val="minor"/>
    </font>
    <font>
      <sz val="11"/>
      <color theme="1"/>
      <name val="Calibri"/>
      <family val="2"/>
    </font>
    <font>
      <sz val="11"/>
      <color theme="1"/>
      <name val="Calibri"/>
      <family val="2"/>
      <scheme val="minor"/>
    </font>
    <font>
      <sz val="11"/>
      <color theme="1"/>
      <name val="Calibri"/>
      <family val="2"/>
    </font>
    <font>
      <sz val="11"/>
      <color rgb="FF000000"/>
      <name val="Docs-Calibri"/>
    </font>
    <font>
      <sz val="11"/>
      <color rgb="FF000000"/>
      <name val="Calibri"/>
      <family val="2"/>
    </font>
    <font>
      <b/>
      <sz val="11"/>
      <color theme="1"/>
      <name val="Calibri"/>
      <family val="2"/>
    </font>
    <font>
      <b/>
      <sz val="11"/>
      <color theme="1"/>
      <name val="Calibri"/>
      <family val="2"/>
      <scheme val="minor"/>
    </font>
    <font>
      <sz val="11"/>
      <name val="Calibri"/>
      <family val="2"/>
    </font>
  </fonts>
  <fills count="22">
    <fill>
      <patternFill patternType="none"/>
    </fill>
    <fill>
      <patternFill patternType="gray125"/>
    </fill>
    <fill>
      <patternFill patternType="solid">
        <fgColor rgb="FFFFE599"/>
        <bgColor rgb="FFFFE599"/>
      </patternFill>
    </fill>
    <fill>
      <patternFill patternType="solid">
        <fgColor rgb="FFFFC7CE"/>
        <bgColor rgb="FFFFC7CE"/>
      </patternFill>
    </fill>
    <fill>
      <patternFill patternType="solid">
        <fgColor rgb="FF6D9EEB"/>
        <bgColor rgb="FF6D9EEB"/>
      </patternFill>
    </fill>
    <fill>
      <patternFill patternType="solid">
        <fgColor rgb="FFEAD1DC"/>
        <bgColor rgb="FFEAD1DC"/>
      </patternFill>
    </fill>
    <fill>
      <patternFill patternType="solid">
        <fgColor rgb="FFE6B8AF"/>
        <bgColor rgb="FFE6B8AF"/>
      </patternFill>
    </fill>
    <fill>
      <patternFill patternType="solid">
        <fgColor rgb="FFB4A7D6"/>
        <bgColor rgb="FFB4A7D6"/>
      </patternFill>
    </fill>
    <fill>
      <patternFill patternType="solid">
        <fgColor rgb="FFCC4125"/>
        <bgColor rgb="FFCC4125"/>
      </patternFill>
    </fill>
    <fill>
      <patternFill patternType="solid">
        <fgColor rgb="FFD9E2F3"/>
        <bgColor rgb="FFD9E2F3"/>
      </patternFill>
    </fill>
    <fill>
      <patternFill patternType="solid">
        <fgColor theme="0"/>
        <bgColor theme="0"/>
      </patternFill>
    </fill>
    <fill>
      <patternFill patternType="solid">
        <fgColor rgb="FFDD7E6B"/>
        <bgColor rgb="FFDD7E6B"/>
      </patternFill>
    </fill>
    <fill>
      <patternFill patternType="solid">
        <fgColor rgb="FF999999"/>
        <bgColor rgb="FF999999"/>
      </patternFill>
    </fill>
    <fill>
      <patternFill patternType="solid">
        <fgColor rgb="FFFEF2CB"/>
        <bgColor rgb="FFFEF2CB"/>
      </patternFill>
    </fill>
    <fill>
      <patternFill patternType="solid">
        <fgColor rgb="FFD9EAD3"/>
        <bgColor rgb="FFD9EAD3"/>
      </patternFill>
    </fill>
    <fill>
      <patternFill patternType="solid">
        <fgColor rgb="FFEFEFEF"/>
        <bgColor rgb="FFEFEFEF"/>
      </patternFill>
    </fill>
    <fill>
      <patternFill patternType="solid">
        <fgColor rgb="FFCCCCCC"/>
        <bgColor rgb="FFCCCCCC"/>
      </patternFill>
    </fill>
    <fill>
      <patternFill patternType="solid">
        <fgColor theme="8" tint="0.39997558519241921"/>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5"/>
        <bgColor indexed="64"/>
      </patternFill>
    </fill>
    <fill>
      <patternFill patternType="solid">
        <fgColor theme="9" tint="0.39997558519241921"/>
        <bgColor indexed="64"/>
      </patternFill>
    </fill>
  </fills>
  <borders count="61">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medium">
        <color indexed="64"/>
      </left>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medium">
        <color indexed="64"/>
      </top>
      <bottom style="medium">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149">
    <xf numFmtId="0" fontId="0" fillId="0" borderId="0" xfId="0"/>
    <xf numFmtId="0" fontId="3" fillId="0" borderId="0" xfId="0" applyFont="1"/>
    <xf numFmtId="0" fontId="3" fillId="2" borderId="0" xfId="0" applyFont="1" applyFill="1"/>
    <xf numFmtId="0" fontId="4" fillId="2" borderId="0" xfId="0" applyFont="1" applyFill="1"/>
    <xf numFmtId="0" fontId="3" fillId="2" borderId="1" xfId="0" applyFont="1" applyFill="1" applyBorder="1"/>
    <xf numFmtId="49" fontId="3" fillId="0" borderId="0" xfId="0" applyNumberFormat="1" applyFont="1"/>
    <xf numFmtId="0" fontId="5" fillId="3" borderId="2" xfId="0" applyFont="1" applyFill="1" applyBorder="1"/>
    <xf numFmtId="0" fontId="4" fillId="0" borderId="0" xfId="0" applyFont="1"/>
    <xf numFmtId="0" fontId="3" fillId="4" borderId="1" xfId="0" applyFont="1" applyFill="1" applyBorder="1"/>
    <xf numFmtId="0" fontId="3" fillId="5" borderId="1" xfId="0" applyFont="1" applyFill="1" applyBorder="1"/>
    <xf numFmtId="0" fontId="3" fillId="6" borderId="1" xfId="0" applyFont="1" applyFill="1" applyBorder="1"/>
    <xf numFmtId="0" fontId="3" fillId="7" borderId="1" xfId="0" applyFont="1" applyFill="1" applyBorder="1"/>
    <xf numFmtId="0" fontId="3" fillId="8" borderId="0" xfId="0" applyFont="1" applyFill="1"/>
    <xf numFmtId="0" fontId="6" fillId="9" borderId="0" xfId="0" applyFont="1" applyFill="1" applyAlignment="1">
      <alignment horizontal="right"/>
    </xf>
    <xf numFmtId="0" fontId="7" fillId="9" borderId="0" xfId="0" applyFont="1" applyFill="1" applyAlignment="1">
      <alignment horizontal="right"/>
    </xf>
    <xf numFmtId="164" fontId="5" fillId="0" borderId="0" xfId="0" applyNumberFormat="1" applyFont="1"/>
    <xf numFmtId="0" fontId="5" fillId="0" borderId="0" xfId="0" applyFont="1"/>
    <xf numFmtId="0" fontId="3" fillId="0" borderId="0" xfId="0" quotePrefix="1" applyFont="1"/>
    <xf numFmtId="0" fontId="5" fillId="3" borderId="0" xfId="0" applyFont="1" applyFill="1"/>
    <xf numFmtId="0" fontId="3" fillId="0" borderId="0" xfId="0" applyFont="1" applyAlignment="1">
      <alignment horizontal="center"/>
    </xf>
    <xf numFmtId="165" fontId="3" fillId="0" borderId="0" xfId="0" applyNumberFormat="1" applyFont="1"/>
    <xf numFmtId="165" fontId="4" fillId="0" borderId="0" xfId="0" applyNumberFormat="1" applyFont="1"/>
    <xf numFmtId="165" fontId="8" fillId="4" borderId="1" xfId="0" applyNumberFormat="1" applyFont="1" applyFill="1" applyBorder="1" applyAlignment="1">
      <alignment horizontal="center"/>
    </xf>
    <xf numFmtId="165" fontId="3" fillId="4" borderId="1" xfId="0" applyNumberFormat="1" applyFont="1" applyFill="1" applyBorder="1" applyAlignment="1">
      <alignment horizontal="center"/>
    </xf>
    <xf numFmtId="165" fontId="3" fillId="10" borderId="1" xfId="0" applyNumberFormat="1" applyFont="1" applyFill="1" applyBorder="1" applyAlignment="1">
      <alignment horizontal="center"/>
    </xf>
    <xf numFmtId="165" fontId="3" fillId="0" borderId="1" xfId="0" applyNumberFormat="1" applyFont="1" applyBorder="1" applyAlignment="1">
      <alignment horizontal="center"/>
    </xf>
    <xf numFmtId="165" fontId="3" fillId="11" borderId="1" xfId="0" applyNumberFormat="1" applyFont="1" applyFill="1" applyBorder="1" applyAlignment="1">
      <alignment horizontal="center"/>
    </xf>
    <xf numFmtId="165" fontId="3" fillId="12" borderId="1" xfId="0" applyNumberFormat="1" applyFont="1" applyFill="1" applyBorder="1" applyAlignment="1">
      <alignment horizontal="center"/>
    </xf>
    <xf numFmtId="0" fontId="9" fillId="0" borderId="3" xfId="0" applyFont="1" applyBorder="1"/>
    <xf numFmtId="0" fontId="4" fillId="0" borderId="4" xfId="0" applyFont="1" applyBorder="1"/>
    <xf numFmtId="0" fontId="4" fillId="0" borderId="5" xfId="0" applyFont="1" applyBorder="1"/>
    <xf numFmtId="0" fontId="4" fillId="13" borderId="0" xfId="0" applyFont="1" applyFill="1"/>
    <xf numFmtId="0" fontId="9" fillId="0" borderId="6" xfId="0" applyFont="1" applyBorder="1"/>
    <xf numFmtId="0" fontId="4" fillId="9" borderId="0" xfId="0" applyFont="1" applyFill="1"/>
    <xf numFmtId="0" fontId="9" fillId="0" borderId="6" xfId="0" applyFont="1" applyBorder="1" applyAlignment="1">
      <alignment horizontal="center"/>
    </xf>
    <xf numFmtId="0" fontId="9" fillId="0" borderId="1" xfId="0" applyFont="1" applyBorder="1" applyAlignment="1">
      <alignment horizontal="center"/>
    </xf>
    <xf numFmtId="0" fontId="9" fillId="0" borderId="9" xfId="0" applyFont="1" applyBorder="1" applyAlignment="1">
      <alignment horizontal="center"/>
    </xf>
    <xf numFmtId="0" fontId="4" fillId="14" borderId="0" xfId="0" applyFont="1" applyFill="1"/>
    <xf numFmtId="0" fontId="4" fillId="15" borderId="6" xfId="0" applyFont="1" applyFill="1" applyBorder="1" applyAlignment="1">
      <alignment horizontal="center"/>
    </xf>
    <xf numFmtId="2" fontId="4" fillId="15" borderId="1" xfId="0" applyNumberFormat="1" applyFont="1" applyFill="1" applyBorder="1" applyAlignment="1">
      <alignment horizontal="center"/>
    </xf>
    <xf numFmtId="0" fontId="4" fillId="15" borderId="9" xfId="0" applyFont="1" applyFill="1" applyBorder="1" applyAlignment="1">
      <alignment horizontal="center"/>
    </xf>
    <xf numFmtId="0" fontId="4" fillId="5" borderId="0" xfId="0" applyFont="1" applyFill="1"/>
    <xf numFmtId="0" fontId="4" fillId="0" borderId="6" xfId="0" applyFont="1" applyBorder="1" applyAlignment="1">
      <alignment horizontal="center"/>
    </xf>
    <xf numFmtId="0" fontId="4" fillId="0" borderId="1" xfId="0" applyFont="1" applyBorder="1" applyAlignment="1">
      <alignment horizontal="center"/>
    </xf>
    <xf numFmtId="0" fontId="4" fillId="0" borderId="9" xfId="0" applyFont="1" applyBorder="1" applyAlignment="1">
      <alignment horizontal="center"/>
    </xf>
    <xf numFmtId="0" fontId="9" fillId="16" borderId="10" xfId="0" applyFont="1" applyFill="1" applyBorder="1"/>
    <xf numFmtId="0" fontId="4" fillId="16" borderId="11" xfId="0" applyFont="1" applyFill="1" applyBorder="1" applyAlignment="1">
      <alignment horizontal="right"/>
    </xf>
    <xf numFmtId="0" fontId="4" fillId="0" borderId="12" xfId="0" applyFont="1" applyBorder="1" applyAlignment="1">
      <alignment horizontal="center"/>
    </xf>
    <xf numFmtId="0" fontId="4" fillId="0" borderId="13" xfId="0" applyFont="1" applyBorder="1" applyAlignment="1">
      <alignment horizontal="center"/>
    </xf>
    <xf numFmtId="0" fontId="4" fillId="0" borderId="14" xfId="0" applyFont="1" applyBorder="1" applyAlignment="1">
      <alignment horizontal="center"/>
    </xf>
    <xf numFmtId="0" fontId="4" fillId="9" borderId="15" xfId="0" applyFont="1" applyFill="1" applyBorder="1"/>
    <xf numFmtId="0" fontId="4" fillId="9" borderId="16" xfId="0" applyFont="1" applyFill="1" applyBorder="1" applyAlignment="1">
      <alignment horizontal="right"/>
    </xf>
    <xf numFmtId="0" fontId="4" fillId="0" borderId="6" xfId="0" applyFont="1" applyBorder="1"/>
    <xf numFmtId="0" fontId="4" fillId="0" borderId="9" xfId="0" applyFont="1" applyBorder="1" applyAlignment="1">
      <alignment horizontal="right"/>
    </xf>
    <xf numFmtId="166" fontId="4" fillId="0" borderId="9" xfId="0" applyNumberFormat="1" applyFont="1" applyBorder="1" applyAlignment="1">
      <alignment horizontal="right"/>
    </xf>
    <xf numFmtId="0" fontId="9" fillId="0" borderId="9" xfId="0" applyFont="1" applyBorder="1" applyAlignment="1">
      <alignment horizontal="right"/>
    </xf>
    <xf numFmtId="0" fontId="4" fillId="0" borderId="17" xfId="0" applyFont="1" applyBorder="1"/>
    <xf numFmtId="0" fontId="4" fillId="0" borderId="18" xfId="0" applyFont="1" applyBorder="1" applyAlignment="1">
      <alignment horizontal="right"/>
    </xf>
    <xf numFmtId="0" fontId="4" fillId="9" borderId="12" xfId="0" applyFont="1" applyFill="1" applyBorder="1"/>
    <xf numFmtId="167" fontId="4" fillId="9" borderId="14" xfId="0" applyNumberFormat="1" applyFont="1" applyFill="1" applyBorder="1" applyAlignment="1">
      <alignment horizontal="right"/>
    </xf>
    <xf numFmtId="0" fontId="4" fillId="14" borderId="15" xfId="0" applyFont="1" applyFill="1" applyBorder="1"/>
    <xf numFmtId="0" fontId="4" fillId="14" borderId="16" xfId="0" applyFont="1" applyFill="1" applyBorder="1" applyAlignment="1">
      <alignment horizontal="right"/>
    </xf>
    <xf numFmtId="0" fontId="4" fillId="14" borderId="12" xfId="0" applyFont="1" applyFill="1" applyBorder="1"/>
    <xf numFmtId="2" fontId="4" fillId="14" borderId="14" xfId="0" applyNumberFormat="1" applyFont="1" applyFill="1" applyBorder="1" applyAlignment="1">
      <alignment horizontal="right"/>
    </xf>
    <xf numFmtId="167" fontId="4" fillId="0" borderId="18" xfId="0" applyNumberFormat="1" applyFont="1" applyBorder="1" applyAlignment="1">
      <alignment horizontal="right"/>
    </xf>
    <xf numFmtId="0" fontId="9" fillId="16" borderId="19" xfId="0" applyFont="1" applyFill="1" applyBorder="1"/>
    <xf numFmtId="0" fontId="4" fillId="16" borderId="20" xfId="0" applyFont="1" applyFill="1" applyBorder="1" applyAlignment="1">
      <alignment horizontal="right"/>
    </xf>
    <xf numFmtId="0" fontId="4" fillId="13" borderId="21" xfId="0" applyFont="1" applyFill="1" applyBorder="1"/>
    <xf numFmtId="0" fontId="4" fillId="13" borderId="22" xfId="0" applyFont="1" applyFill="1" applyBorder="1" applyAlignment="1">
      <alignment horizontal="right"/>
    </xf>
    <xf numFmtId="0" fontId="4" fillId="5" borderId="21" xfId="0" applyFont="1" applyFill="1" applyBorder="1"/>
    <xf numFmtId="0" fontId="4" fillId="5" borderId="22" xfId="0" applyFont="1" applyFill="1" applyBorder="1" applyAlignment="1">
      <alignment horizontal="right"/>
    </xf>
    <xf numFmtId="0" fontId="3" fillId="13" borderId="0" xfId="0" applyFont="1" applyFill="1"/>
    <xf numFmtId="0" fontId="3" fillId="9" borderId="0" xfId="0" applyFont="1" applyFill="1"/>
    <xf numFmtId="0" fontId="3" fillId="9" borderId="0" xfId="0" quotePrefix="1" applyFont="1" applyFill="1"/>
    <xf numFmtId="0" fontId="3" fillId="13" borderId="0" xfId="0" quotePrefix="1" applyFont="1" applyFill="1"/>
    <xf numFmtId="49" fontId="3" fillId="13" borderId="0" xfId="0" applyNumberFormat="1" applyFont="1" applyFill="1"/>
    <xf numFmtId="49" fontId="3" fillId="9" borderId="0" xfId="0" applyNumberFormat="1" applyFont="1" applyFill="1"/>
    <xf numFmtId="164" fontId="3" fillId="13" borderId="0" xfId="0" applyNumberFormat="1" applyFont="1" applyFill="1"/>
    <xf numFmtId="0" fontId="3" fillId="3" borderId="2" xfId="0" applyFont="1" applyFill="1" applyBorder="1"/>
    <xf numFmtId="0" fontId="3" fillId="3" borderId="0" xfId="0" applyFont="1" applyFill="1"/>
    <xf numFmtId="0" fontId="2" fillId="0" borderId="0" xfId="0" applyFont="1"/>
    <xf numFmtId="0" fontId="2" fillId="0" borderId="0" xfId="0" applyFont="1" applyAlignment="1">
      <alignment horizontal="center"/>
    </xf>
    <xf numFmtId="0" fontId="0" fillId="0" borderId="0" xfId="0" applyAlignment="1">
      <alignment horizontal="right"/>
    </xf>
    <xf numFmtId="0" fontId="2" fillId="0" borderId="23" xfId="0" applyFont="1" applyBorder="1" applyAlignment="1">
      <alignment horizontal="center"/>
    </xf>
    <xf numFmtId="0" fontId="0" fillId="0" borderId="23" xfId="0" applyBorder="1" applyAlignment="1">
      <alignment horizontal="center"/>
    </xf>
    <xf numFmtId="0" fontId="0" fillId="0" borderId="29" xfId="0" applyBorder="1" applyAlignment="1">
      <alignment horizontal="center"/>
    </xf>
    <xf numFmtId="0" fontId="2" fillId="0" borderId="30" xfId="0" applyFont="1" applyBorder="1" applyAlignment="1">
      <alignment horizontal="center"/>
    </xf>
    <xf numFmtId="0" fontId="2" fillId="0" borderId="31" xfId="0" applyFont="1" applyBorder="1" applyAlignment="1">
      <alignment horizontal="center"/>
    </xf>
    <xf numFmtId="0" fontId="0" fillId="0" borderId="33" xfId="0" applyBorder="1" applyAlignment="1">
      <alignment horizontal="center"/>
    </xf>
    <xf numFmtId="0" fontId="2" fillId="17" borderId="35" xfId="0" applyFont="1" applyFill="1" applyBorder="1" applyAlignment="1">
      <alignment horizontal="center" vertical="center"/>
    </xf>
    <xf numFmtId="0" fontId="2" fillId="17" borderId="36" xfId="0" applyFont="1" applyFill="1" applyBorder="1" applyAlignment="1">
      <alignment horizontal="center" vertical="center"/>
    </xf>
    <xf numFmtId="0" fontId="2" fillId="17" borderId="32" xfId="0" applyFont="1" applyFill="1" applyBorder="1" applyAlignment="1">
      <alignment horizontal="center"/>
    </xf>
    <xf numFmtId="0" fontId="2" fillId="17" borderId="26" xfId="0" applyFont="1" applyFill="1" applyBorder="1" applyAlignment="1">
      <alignment horizontal="center"/>
    </xf>
    <xf numFmtId="0" fontId="2" fillId="0" borderId="38" xfId="0" applyFont="1" applyBorder="1" applyAlignment="1">
      <alignment horizontal="center"/>
    </xf>
    <xf numFmtId="0" fontId="2" fillId="17" borderId="39" xfId="0" applyFont="1" applyFill="1" applyBorder="1" applyAlignment="1">
      <alignment horizontal="center"/>
    </xf>
    <xf numFmtId="0" fontId="0" fillId="0" borderId="40" xfId="0" applyBorder="1" applyAlignment="1">
      <alignment horizontal="center"/>
    </xf>
    <xf numFmtId="0" fontId="0" fillId="0" borderId="2" xfId="0" applyBorder="1"/>
    <xf numFmtId="0" fontId="0" fillId="18" borderId="36" xfId="0" applyFill="1" applyBorder="1" applyAlignment="1">
      <alignment horizontal="center"/>
    </xf>
    <xf numFmtId="0" fontId="0" fillId="18" borderId="33" xfId="0" applyFill="1" applyBorder="1" applyAlignment="1">
      <alignment horizontal="center"/>
    </xf>
    <xf numFmtId="0" fontId="0" fillId="18" borderId="23" xfId="0" applyFill="1" applyBorder="1" applyAlignment="1">
      <alignment horizontal="center"/>
    </xf>
    <xf numFmtId="0" fontId="0" fillId="18" borderId="40" xfId="0" applyFill="1" applyBorder="1" applyAlignment="1">
      <alignment horizontal="center"/>
    </xf>
    <xf numFmtId="0" fontId="0" fillId="18" borderId="37" xfId="0" applyFill="1" applyBorder="1" applyAlignment="1">
      <alignment horizontal="center"/>
    </xf>
    <xf numFmtId="0" fontId="0" fillId="0" borderId="23" xfId="0" applyBorder="1"/>
    <xf numFmtId="0" fontId="0" fillId="0" borderId="29" xfId="0" applyBorder="1"/>
    <xf numFmtId="0" fontId="0" fillId="0" borderId="45" xfId="0" applyBorder="1"/>
    <xf numFmtId="0" fontId="0" fillId="0" borderId="46" xfId="0" applyBorder="1"/>
    <xf numFmtId="0" fontId="0" fillId="0" borderId="47" xfId="0" applyBorder="1"/>
    <xf numFmtId="0" fontId="0" fillId="0" borderId="48" xfId="0" applyBorder="1"/>
    <xf numFmtId="0" fontId="0" fillId="0" borderId="50" xfId="0" applyBorder="1"/>
    <xf numFmtId="0" fontId="0" fillId="0" borderId="33" xfId="0" applyBorder="1"/>
    <xf numFmtId="0" fontId="0" fillId="0" borderId="34" xfId="0" applyBorder="1"/>
    <xf numFmtId="0" fontId="2" fillId="19" borderId="24" xfId="0" applyFont="1" applyFill="1" applyBorder="1" applyAlignment="1">
      <alignment vertical="center" wrapText="1"/>
    </xf>
    <xf numFmtId="0" fontId="2" fillId="19" borderId="31" xfId="0" applyFont="1" applyFill="1" applyBorder="1" applyAlignment="1">
      <alignment vertical="center" wrapText="1"/>
    </xf>
    <xf numFmtId="0" fontId="2" fillId="19" borderId="30" xfId="0" applyFont="1" applyFill="1" applyBorder="1" applyAlignment="1">
      <alignment vertical="center" wrapText="1"/>
    </xf>
    <xf numFmtId="0" fontId="0" fillId="19" borderId="49" xfId="0" applyFill="1" applyBorder="1" applyAlignment="1">
      <alignment vertical="center" wrapText="1"/>
    </xf>
    <xf numFmtId="0" fontId="0" fillId="19" borderId="51" xfId="0" applyFill="1" applyBorder="1"/>
    <xf numFmtId="0" fontId="0" fillId="19" borderId="36" xfId="0" applyFill="1" applyBorder="1"/>
    <xf numFmtId="0" fontId="0" fillId="19" borderId="37" xfId="0" applyFill="1" applyBorder="1"/>
    <xf numFmtId="0" fontId="9" fillId="0" borderId="7" xfId="0" applyFont="1" applyBorder="1" applyAlignment="1">
      <alignment horizontal="center"/>
    </xf>
    <xf numFmtId="0" fontId="10" fillId="0" borderId="8" xfId="0" applyFont="1" applyBorder="1"/>
    <xf numFmtId="0" fontId="2" fillId="17" borderId="52" xfId="0" applyFont="1" applyFill="1" applyBorder="1" applyAlignment="1">
      <alignment horizontal="center" vertical="center"/>
    </xf>
    <xf numFmtId="0" fontId="0" fillId="0" borderId="53" xfId="0" applyBorder="1" applyAlignment="1">
      <alignment horizontal="center"/>
    </xf>
    <xf numFmtId="0" fontId="0" fillId="0" borderId="54" xfId="0" applyBorder="1" applyAlignment="1">
      <alignment horizontal="center"/>
    </xf>
    <xf numFmtId="0" fontId="2" fillId="0" borderId="54" xfId="0" applyFont="1" applyBorder="1" applyAlignment="1">
      <alignment horizontal="center"/>
    </xf>
    <xf numFmtId="0" fontId="0" fillId="0" borderId="55" xfId="0" applyBorder="1" applyAlignment="1">
      <alignment horizontal="center"/>
    </xf>
    <xf numFmtId="0" fontId="1" fillId="0" borderId="30" xfId="0" applyFont="1" applyBorder="1" applyAlignment="1">
      <alignment horizontal="center"/>
    </xf>
    <xf numFmtId="0" fontId="1" fillId="0" borderId="2" xfId="0" applyFont="1" applyBorder="1"/>
    <xf numFmtId="0" fontId="2" fillId="0" borderId="43" xfId="0" applyFont="1" applyBorder="1" applyAlignment="1">
      <alignment horizontal="center"/>
    </xf>
    <xf numFmtId="0" fontId="2" fillId="0" borderId="42" xfId="0" applyFont="1" applyBorder="1" applyAlignment="1">
      <alignment horizontal="center"/>
    </xf>
    <xf numFmtId="0" fontId="0" fillId="0" borderId="42" xfId="0" applyBorder="1" applyAlignment="1">
      <alignment horizontal="center"/>
    </xf>
    <xf numFmtId="0" fontId="0" fillId="0" borderId="57"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56" xfId="0" applyBorder="1" applyAlignment="1">
      <alignment horizontal="center"/>
    </xf>
    <xf numFmtId="0" fontId="0" fillId="0" borderId="27" xfId="0" applyBorder="1" applyAlignment="1">
      <alignment horizontal="center"/>
    </xf>
    <xf numFmtId="0" fontId="0" fillId="0" borderId="45" xfId="0" applyBorder="1" applyAlignment="1">
      <alignment horizontal="center"/>
    </xf>
    <xf numFmtId="0" fontId="0" fillId="0" borderId="28" xfId="0" applyBorder="1" applyAlignment="1">
      <alignment horizontal="center"/>
    </xf>
    <xf numFmtId="0" fontId="0" fillId="0" borderId="46" xfId="0" applyBorder="1" applyAlignment="1">
      <alignment horizontal="center"/>
    </xf>
    <xf numFmtId="0" fontId="0" fillId="0" borderId="59" xfId="0" applyBorder="1" applyAlignment="1">
      <alignment horizontal="center"/>
    </xf>
    <xf numFmtId="0" fontId="0" fillId="0" borderId="60" xfId="0" applyBorder="1" applyAlignment="1">
      <alignment horizontal="center"/>
    </xf>
    <xf numFmtId="0" fontId="1" fillId="19" borderId="30" xfId="0" applyFont="1" applyFill="1" applyBorder="1" applyAlignment="1">
      <alignment vertical="center" wrapText="1"/>
    </xf>
    <xf numFmtId="0" fontId="2" fillId="20" borderId="24" xfId="0" applyFont="1" applyFill="1" applyBorder="1" applyAlignment="1">
      <alignment horizontal="center" vertical="center"/>
    </xf>
    <xf numFmtId="0" fontId="2" fillId="20" borderId="24" xfId="0" applyFont="1" applyFill="1" applyBorder="1"/>
    <xf numFmtId="0" fontId="0" fillId="18" borderId="44" xfId="0" applyFill="1" applyBorder="1"/>
    <xf numFmtId="0" fontId="0" fillId="18" borderId="41" xfId="0" applyFill="1" applyBorder="1"/>
    <xf numFmtId="0" fontId="0" fillId="18" borderId="58" xfId="0" applyFill="1" applyBorder="1"/>
    <xf numFmtId="0" fontId="1" fillId="21" borderId="25" xfId="0" applyFont="1" applyFill="1" applyBorder="1" applyAlignment="1">
      <alignment horizontal="center" vertical="center" wrapText="1"/>
    </xf>
    <xf numFmtId="0" fontId="1" fillId="21" borderId="26" xfId="0" applyFont="1" applyFill="1" applyBorder="1" applyAlignment="1">
      <alignment horizontal="center" vertical="center" wrapText="1"/>
    </xf>
    <xf numFmtId="0" fontId="1" fillId="21" borderId="56" xfId="0" applyFont="1" applyFill="1" applyBorder="1" applyAlignment="1">
      <alignment horizontal="center" vertical="center" wrapText="1"/>
    </xf>
  </cellXfs>
  <cellStyles count="1">
    <cellStyle name="Normal" xfId="0" builtinId="0"/>
  </cellStyles>
  <dxfs count="6">
    <dxf>
      <fill>
        <patternFill patternType="solid">
          <fgColor rgb="FFD9E2F3"/>
          <bgColor rgb="FFD9E2F3"/>
        </patternFill>
      </fill>
    </dxf>
    <dxf>
      <fill>
        <patternFill patternType="solid">
          <fgColor rgb="FFD9E2F3"/>
          <bgColor rgb="FFD9E2F3"/>
        </patternFill>
      </fill>
    </dxf>
    <dxf>
      <fill>
        <patternFill patternType="solid">
          <fgColor theme="0"/>
          <bgColor theme="0"/>
        </patternFill>
      </fill>
    </dxf>
    <dxf>
      <fill>
        <patternFill patternType="solid">
          <fgColor rgb="FFD9E2F3"/>
          <bgColor rgb="FFD9E2F3"/>
        </patternFill>
      </fill>
    </dxf>
    <dxf>
      <fill>
        <patternFill patternType="solid">
          <fgColor rgb="FFFEF2CB"/>
          <bgColor rgb="FFFEF2CB"/>
        </patternFill>
      </fill>
    </dxf>
    <dxf>
      <fill>
        <patternFill patternType="solid">
          <fgColor theme="7"/>
          <bgColor theme="7"/>
        </patternFill>
      </fill>
    </dxf>
  </dxfs>
  <tableStyles count="2">
    <tableStyle name="Nodes properties-style" pivot="0" count="3" xr9:uid="{00000000-0011-0000-FFFF-FFFF00000000}">
      <tableStyleElement type="headerRow" dxfId="5"/>
      <tableStyleElement type="firstRowStripe" dxfId="4"/>
      <tableStyleElement type="secondRowStripe" dxfId="3"/>
    </tableStyle>
    <tableStyle name="Conductances between nodes-style" pivot="0" count="3" xr9:uid="{00000000-0011-0000-FFFF-FFFF01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4</xdr:col>
      <xdr:colOff>771525</xdr:colOff>
      <xdr:row>8</xdr:row>
      <xdr:rowOff>152400</xdr:rowOff>
    </xdr:from>
    <xdr:ext cx="6981825" cy="4943475"/>
    <xdr:pic>
      <xdr:nvPicPr>
        <xdr:cNvPr id="2" name="image3.png" title="Imagen">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34</xdr:row>
      <xdr:rowOff>38100</xdr:rowOff>
    </xdr:from>
    <xdr:ext cx="7343775" cy="5124450"/>
    <xdr:pic>
      <xdr:nvPicPr>
        <xdr:cNvPr id="2" name="image2.png" title="Image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13</xdr:col>
      <xdr:colOff>161925</xdr:colOff>
      <xdr:row>32</xdr:row>
      <xdr:rowOff>180975</xdr:rowOff>
    </xdr:from>
    <xdr:ext cx="6753225" cy="5038725"/>
    <xdr:pic>
      <xdr:nvPicPr>
        <xdr:cNvPr id="3" name="image1.png" title="Imagen">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xfrm>
          <a:off x="7353300" y="6448425"/>
          <a:ext cx="6753225" cy="5038725"/>
        </a:xfrm>
        <a:prstGeom prst="rect">
          <a:avLst/>
        </a:prstGeom>
        <a:noFill/>
      </xdr:spPr>
    </xdr:pic>
    <xdr:clientData fLocksWithSheet="0"/>
  </xdr:oneCellAnchor>
  <xdr:oneCellAnchor>
    <xdr:from>
      <xdr:col>26</xdr:col>
      <xdr:colOff>133350</xdr:colOff>
      <xdr:row>35</xdr:row>
      <xdr:rowOff>76200</xdr:rowOff>
    </xdr:from>
    <xdr:ext cx="6981825" cy="4943475"/>
    <xdr:pic>
      <xdr:nvPicPr>
        <xdr:cNvPr id="4" name="image3.png" title="Imagen">
          <a:extLst>
            <a:ext uri="{FF2B5EF4-FFF2-40B4-BE49-F238E27FC236}">
              <a16:creationId xmlns:a16="http://schemas.microsoft.com/office/drawing/2014/main" id="{00000000-0008-0000-0100-000004000000}"/>
            </a:ext>
          </a:extLst>
        </xdr:cNvPr>
        <xdr:cNvPicPr preferRelativeResize="0"/>
      </xdr:nvPicPr>
      <xdr:blipFill>
        <a:blip xmlns:r="http://schemas.openxmlformats.org/officeDocument/2006/relationships" r:embed="rId3" cstate="print"/>
        <a:stretch>
          <a:fillRect/>
        </a:stretch>
      </xdr:blipFill>
      <xdr:spPr>
        <a:xfrm>
          <a:off x="14382750" y="6943725"/>
          <a:ext cx="6981825" cy="4943475"/>
        </a:xfrm>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4:Q33">
  <tableColumns count="17">
    <tableColumn id="1" xr3:uid="{00000000-0010-0000-0000-000001000000}" name="Node number"/>
    <tableColumn id="2" xr3:uid="{00000000-0010-0000-0000-000002000000}" name="name"/>
    <tableColumn id="3" xr3:uid="{00000000-0010-0000-0000-000003000000}" name="Product Tree code"/>
    <tableColumn id="4" xr3:uid="{00000000-0010-0000-0000-000004000000}" name="m [kg]"/>
    <tableColumn id="5" xr3:uid="{00000000-0010-0000-0000-000005000000}" name="Material"/>
    <tableColumn id="6" xr3:uid="{00000000-0010-0000-0000-000006000000}" name="Cp [J/kgK]"/>
    <tableColumn id="7" xr3:uid="{00000000-0010-0000-0000-000007000000}" name="k [W/(m*K)]"/>
    <tableColumn id="8" xr3:uid="{00000000-0010-0000-0000-000008000000}" name="E [Pa]"/>
    <tableColumn id="9" xr3:uid="{00000000-0010-0000-0000-000009000000}" name="Poisson's Ratio"/>
    <tableColumn id="10" xr3:uid="{00000000-0010-0000-0000-00000A000000}" name="Surface_x000a_roughness [m]"/>
    <tableColumn id="11" xr3:uid="{00000000-0010-0000-0000-00000B000000}" name="L [m]"/>
    <tableColumn id="12" xr3:uid="{00000000-0010-0000-0000-00000C000000}" name="A [m2]"/>
    <tableColumn id="13" xr3:uid="{00000000-0010-0000-0000-00000D000000}" name="n"/>
    <tableColumn id="14" xr3:uid="{00000000-0010-0000-0000-00000E000000}" name="e"/>
    <tableColumn id="15" xr3:uid="{00000000-0010-0000-0000-00000F000000}" name="a2"/>
    <tableColumn id="16" xr3:uid="{00000000-0010-0000-0000-000010000000}" name="coupling"/>
    <tableColumn id="17" xr3:uid="{00000000-0010-0000-0000-000011000000}" name="qgen [W]"/>
  </tableColumns>
  <tableStyleInfo name="Nodes properti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4:AD33">
  <tableColumns count="30">
    <tableColumn id="1" xr3:uid="{00000000-0010-0000-0100-000001000000}" name="conductances [W/K]"/>
    <tableColumn id="2" xr3:uid="{00000000-0010-0000-0100-000002000000}" name="node 1"/>
    <tableColumn id="3" xr3:uid="{00000000-0010-0000-0100-000003000000}" name="node 2"/>
    <tableColumn id="4" xr3:uid="{00000000-0010-0000-0100-000004000000}" name="node 3"/>
    <tableColumn id="5" xr3:uid="{00000000-0010-0000-0100-000005000000}" name="node 4"/>
    <tableColumn id="6" xr3:uid="{00000000-0010-0000-0100-000006000000}" name="node 5"/>
    <tableColumn id="7" xr3:uid="{00000000-0010-0000-0100-000007000000}" name="node 6"/>
    <tableColumn id="8" xr3:uid="{00000000-0010-0000-0100-000008000000}" name="node 7"/>
    <tableColumn id="9" xr3:uid="{00000000-0010-0000-0100-000009000000}" name="node 8"/>
    <tableColumn id="10" xr3:uid="{00000000-0010-0000-0100-00000A000000}" name="node 9"/>
    <tableColumn id="11" xr3:uid="{00000000-0010-0000-0100-00000B000000}" name="node 10"/>
    <tableColumn id="12" xr3:uid="{00000000-0010-0000-0100-00000C000000}" name="node 11"/>
    <tableColumn id="13" xr3:uid="{00000000-0010-0000-0100-00000D000000}" name="node 12"/>
    <tableColumn id="14" xr3:uid="{00000000-0010-0000-0100-00000E000000}" name="node 13"/>
    <tableColumn id="15" xr3:uid="{00000000-0010-0000-0100-00000F000000}" name="node 14"/>
    <tableColumn id="16" xr3:uid="{00000000-0010-0000-0100-000010000000}" name="node 15"/>
    <tableColumn id="17" xr3:uid="{00000000-0010-0000-0100-000011000000}" name="node 16"/>
    <tableColumn id="18" xr3:uid="{00000000-0010-0000-0100-000012000000}" name="node 17"/>
    <tableColumn id="19" xr3:uid="{00000000-0010-0000-0100-000013000000}" name="node 18"/>
    <tableColumn id="20" xr3:uid="{00000000-0010-0000-0100-000014000000}" name="node 19"/>
    <tableColumn id="21" xr3:uid="{00000000-0010-0000-0100-000015000000}" name="node 20"/>
    <tableColumn id="22" xr3:uid="{00000000-0010-0000-0100-000016000000}" name="node 21"/>
    <tableColumn id="23" xr3:uid="{00000000-0010-0000-0100-000017000000}" name="node 22"/>
    <tableColumn id="24" xr3:uid="{00000000-0010-0000-0100-000018000000}" name="node 23"/>
    <tableColumn id="25" xr3:uid="{00000000-0010-0000-0100-000019000000}" name="node 24"/>
    <tableColumn id="26" xr3:uid="{00000000-0010-0000-0100-00001A000000}" name="node 25"/>
    <tableColumn id="27" xr3:uid="{00000000-0010-0000-0100-00001B000000}" name="node 26"/>
    <tableColumn id="28" xr3:uid="{00000000-0010-0000-0100-00001C000000}" name="node 27"/>
    <tableColumn id="29" xr3:uid="{00000000-0010-0000-0100-00001D000000}" name="node 28"/>
    <tableColumn id="30" xr3:uid="{00000000-0010-0000-0100-00001E000000}" name="node 29"/>
  </tableColumns>
  <tableStyleInfo name="Conductances between node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995"/>
  <sheetViews>
    <sheetView workbookViewId="0">
      <pane xSplit="2" ySplit="4" topLeftCell="D5" activePane="bottomRight" state="frozen"/>
      <selection pane="topRight" activeCell="C1" sqref="C1"/>
      <selection pane="bottomLeft" activeCell="A5" sqref="A5"/>
      <selection pane="bottomRight" activeCell="K26" sqref="K26"/>
    </sheetView>
  </sheetViews>
  <sheetFormatPr baseColWidth="10" defaultColWidth="14.42578125" defaultRowHeight="15" customHeight="1"/>
  <cols>
    <col min="1" max="1" width="14.140625" customWidth="1"/>
    <col min="2" max="2" width="31.28515625" customWidth="1"/>
    <col min="3" max="3" width="16.5703125" customWidth="1"/>
    <col min="5" max="5" width="26.42578125" customWidth="1"/>
    <col min="10" max="10" width="16.5703125" customWidth="1"/>
    <col min="11" max="11" width="10.42578125" customWidth="1"/>
    <col min="13" max="13" width="10.85546875" customWidth="1"/>
    <col min="14" max="14" width="8.140625" customWidth="1"/>
    <col min="15" max="15" width="8.5703125" customWidth="1"/>
    <col min="16" max="16" width="31" customWidth="1"/>
    <col min="18" max="18" width="18.42578125" customWidth="1"/>
  </cols>
  <sheetData>
    <row r="1" spans="1:30">
      <c r="A1" s="1" t="s">
        <v>0</v>
      </c>
      <c r="C1" s="1"/>
      <c r="E1" s="1"/>
    </row>
    <row r="2" spans="1:30">
      <c r="A2" s="1" t="s">
        <v>1</v>
      </c>
      <c r="C2" s="1"/>
      <c r="E2" s="1"/>
    </row>
    <row r="3" spans="1:30">
      <c r="C3" s="1"/>
      <c r="E3" s="1"/>
      <c r="R3" s="1" t="s">
        <v>2</v>
      </c>
    </row>
    <row r="4" spans="1:30">
      <c r="A4" s="2" t="s">
        <v>3</v>
      </c>
      <c r="B4" s="2" t="s">
        <v>4</v>
      </c>
      <c r="C4" s="2" t="s">
        <v>5</v>
      </c>
      <c r="D4" s="2" t="s">
        <v>6</v>
      </c>
      <c r="E4" s="2" t="s">
        <v>7</v>
      </c>
      <c r="F4" s="2" t="s">
        <v>8</v>
      </c>
      <c r="G4" s="2" t="s">
        <v>9</v>
      </c>
      <c r="H4" s="2" t="s">
        <v>10</v>
      </c>
      <c r="I4" s="3" t="s">
        <v>11</v>
      </c>
      <c r="J4" s="3" t="s">
        <v>12</v>
      </c>
      <c r="K4" s="2" t="s">
        <v>13</v>
      </c>
      <c r="L4" s="2" t="s">
        <v>14</v>
      </c>
      <c r="M4" s="2" t="s">
        <v>15</v>
      </c>
      <c r="N4" s="2" t="s">
        <v>16</v>
      </c>
      <c r="O4" s="2" t="s">
        <v>17</v>
      </c>
      <c r="P4" s="2" t="s">
        <v>18</v>
      </c>
      <c r="Q4" s="2" t="s">
        <v>19</v>
      </c>
      <c r="R4" s="4" t="s">
        <v>20</v>
      </c>
      <c r="S4" s="4" t="s">
        <v>21</v>
      </c>
      <c r="T4" s="4" t="s">
        <v>22</v>
      </c>
      <c r="U4" s="4" t="s">
        <v>22</v>
      </c>
      <c r="V4" s="4" t="s">
        <v>22</v>
      </c>
      <c r="W4" s="4" t="s">
        <v>23</v>
      </c>
      <c r="X4" s="4" t="s">
        <v>23</v>
      </c>
      <c r="Y4" s="4" t="s">
        <v>24</v>
      </c>
      <c r="Z4" s="4" t="s">
        <v>24</v>
      </c>
      <c r="AA4" s="3"/>
      <c r="AB4" s="3"/>
      <c r="AC4" s="3"/>
      <c r="AD4" s="3"/>
    </row>
    <row r="5" spans="1:30">
      <c r="A5" s="5" t="s">
        <v>25</v>
      </c>
      <c r="B5" s="1" t="s">
        <v>26</v>
      </c>
      <c r="C5" s="1" t="s">
        <v>27</v>
      </c>
      <c r="D5" s="1">
        <v>4.0648000000000004E-2</v>
      </c>
      <c r="E5" s="1" t="s">
        <v>28</v>
      </c>
      <c r="F5" s="6">
        <v>896</v>
      </c>
      <c r="G5" s="1">
        <v>167</v>
      </c>
      <c r="H5" s="7">
        <v>68900000000</v>
      </c>
      <c r="I5" s="7">
        <v>0.33</v>
      </c>
      <c r="J5" s="1">
        <v>1.9999999999999999E-6</v>
      </c>
      <c r="K5" s="1" t="s">
        <v>29</v>
      </c>
      <c r="L5" s="1">
        <v>5.1999999999999998E-3</v>
      </c>
      <c r="M5" s="1" t="s">
        <v>30</v>
      </c>
      <c r="N5" s="1">
        <v>0.8</v>
      </c>
      <c r="O5" s="1">
        <v>0.8</v>
      </c>
      <c r="P5" s="1" t="s">
        <v>31</v>
      </c>
      <c r="Q5" s="1">
        <v>0</v>
      </c>
      <c r="R5" s="8"/>
      <c r="S5" s="8"/>
      <c r="T5" s="8"/>
      <c r="U5" s="4"/>
      <c r="V5" s="4"/>
      <c r="W5" s="9"/>
      <c r="X5" s="10"/>
      <c r="Y5" s="11"/>
      <c r="Z5" s="11"/>
    </row>
    <row r="6" spans="1:30">
      <c r="A6" s="5" t="s">
        <v>32</v>
      </c>
      <c r="B6" s="1" t="s">
        <v>33</v>
      </c>
      <c r="C6" s="1" t="s">
        <v>27</v>
      </c>
      <c r="D6" s="1">
        <v>4.0648000000000004E-2</v>
      </c>
      <c r="E6" s="1" t="s">
        <v>28</v>
      </c>
      <c r="F6" s="6">
        <v>896</v>
      </c>
      <c r="G6" s="1">
        <v>167</v>
      </c>
      <c r="H6" s="7">
        <v>68900000000</v>
      </c>
      <c r="I6" s="7">
        <v>0.33</v>
      </c>
      <c r="J6" s="1">
        <v>1.9999999999999999E-6</v>
      </c>
      <c r="K6" s="1" t="s">
        <v>29</v>
      </c>
      <c r="L6" s="1">
        <v>5.1999999999999998E-3</v>
      </c>
      <c r="M6" s="1" t="s">
        <v>34</v>
      </c>
      <c r="N6" s="1">
        <v>0.8</v>
      </c>
      <c r="O6" s="1">
        <v>0.8</v>
      </c>
      <c r="P6" s="1" t="s">
        <v>35</v>
      </c>
      <c r="Q6" s="1">
        <v>0</v>
      </c>
      <c r="R6" s="8"/>
      <c r="S6" s="8"/>
      <c r="T6" s="8"/>
      <c r="U6" s="4"/>
      <c r="V6" s="4"/>
      <c r="W6" s="9"/>
      <c r="X6" s="10"/>
      <c r="Y6" s="11"/>
      <c r="Z6" s="11"/>
    </row>
    <row r="7" spans="1:30">
      <c r="A7" s="5" t="s">
        <v>36</v>
      </c>
      <c r="B7" s="1" t="s">
        <v>37</v>
      </c>
      <c r="C7" s="1" t="s">
        <v>38</v>
      </c>
      <c r="D7" s="1">
        <v>7.2910000000000006E-3</v>
      </c>
      <c r="E7" s="1" t="s">
        <v>28</v>
      </c>
      <c r="F7" s="6">
        <v>896</v>
      </c>
      <c r="G7" s="1">
        <v>167</v>
      </c>
      <c r="H7" s="7">
        <v>68900000000</v>
      </c>
      <c r="I7" s="7">
        <v>0.33</v>
      </c>
      <c r="J7" s="1">
        <v>1.9999999999999999E-6</v>
      </c>
      <c r="K7" s="1" t="s">
        <v>29</v>
      </c>
      <c r="L7" s="1">
        <v>0</v>
      </c>
      <c r="M7" s="1" t="s">
        <v>39</v>
      </c>
      <c r="N7" s="1">
        <v>0.8</v>
      </c>
      <c r="O7" s="1">
        <v>0.8</v>
      </c>
      <c r="P7" s="1" t="s">
        <v>40</v>
      </c>
      <c r="Q7" s="1">
        <v>0</v>
      </c>
      <c r="R7" s="8"/>
      <c r="S7" s="8"/>
      <c r="T7" s="8"/>
      <c r="U7" s="4"/>
      <c r="V7" s="4"/>
      <c r="W7" s="9"/>
      <c r="X7" s="10"/>
      <c r="Y7" s="11"/>
      <c r="Z7" s="11"/>
    </row>
    <row r="8" spans="1:30">
      <c r="A8" s="5" t="s">
        <v>41</v>
      </c>
      <c r="B8" s="1" t="s">
        <v>42</v>
      </c>
      <c r="C8" s="1" t="s">
        <v>43</v>
      </c>
      <c r="D8" s="1">
        <v>7.3419999999999996E-3</v>
      </c>
      <c r="E8" s="1" t="s">
        <v>28</v>
      </c>
      <c r="F8" s="6">
        <v>896</v>
      </c>
      <c r="G8" s="1">
        <v>167</v>
      </c>
      <c r="H8" s="7">
        <v>68900000000</v>
      </c>
      <c r="I8" s="7">
        <v>0.33</v>
      </c>
      <c r="J8" s="1"/>
      <c r="K8" s="1" t="s">
        <v>29</v>
      </c>
      <c r="L8" s="1">
        <v>0</v>
      </c>
      <c r="M8" s="1" t="s">
        <v>44</v>
      </c>
      <c r="N8" s="1">
        <v>0.8</v>
      </c>
      <c r="O8" s="1">
        <v>0.8</v>
      </c>
      <c r="P8" s="1" t="s">
        <v>45</v>
      </c>
      <c r="Q8" s="1">
        <v>0</v>
      </c>
      <c r="R8" s="8"/>
      <c r="S8" s="8"/>
      <c r="T8" s="8"/>
      <c r="U8" s="4"/>
      <c r="V8" s="4"/>
      <c r="W8" s="9"/>
      <c r="X8" s="10"/>
      <c r="Y8" s="11"/>
      <c r="Z8" s="11"/>
    </row>
    <row r="9" spans="1:30">
      <c r="A9" s="5" t="s">
        <v>46</v>
      </c>
      <c r="B9" s="1" t="s">
        <v>47</v>
      </c>
      <c r="C9" s="1" t="s">
        <v>48</v>
      </c>
      <c r="D9" s="1">
        <v>6.4250000000000002E-3</v>
      </c>
      <c r="E9" s="1" t="s">
        <v>28</v>
      </c>
      <c r="F9" s="6">
        <v>896</v>
      </c>
      <c r="G9" s="1">
        <v>167</v>
      </c>
      <c r="H9" s="7">
        <v>68900000000</v>
      </c>
      <c r="I9" s="7">
        <v>0.33</v>
      </c>
      <c r="J9" s="1"/>
      <c r="K9" s="1" t="s">
        <v>29</v>
      </c>
      <c r="L9" s="1">
        <v>0</v>
      </c>
      <c r="M9" s="1" t="s">
        <v>49</v>
      </c>
      <c r="N9" s="1">
        <v>0.8</v>
      </c>
      <c r="O9" s="1">
        <v>0.8</v>
      </c>
      <c r="P9" s="1" t="s">
        <v>50</v>
      </c>
      <c r="Q9" s="1">
        <v>0</v>
      </c>
      <c r="R9" s="8"/>
      <c r="S9" s="8"/>
      <c r="T9" s="8"/>
      <c r="U9" s="4"/>
      <c r="V9" s="4"/>
      <c r="W9" s="9"/>
      <c r="X9" s="10"/>
      <c r="Y9" s="11"/>
      <c r="Z9" s="11"/>
    </row>
    <row r="10" spans="1:30">
      <c r="A10" s="5" t="s">
        <v>51</v>
      </c>
      <c r="B10" s="1" t="s">
        <v>52</v>
      </c>
      <c r="C10" s="1" t="s">
        <v>53</v>
      </c>
      <c r="D10" s="1">
        <v>6.2350000000000001E-3</v>
      </c>
      <c r="E10" s="1" t="s">
        <v>28</v>
      </c>
      <c r="F10" s="6">
        <v>896</v>
      </c>
      <c r="G10" s="1">
        <v>167</v>
      </c>
      <c r="H10" s="7">
        <v>68900000000</v>
      </c>
      <c r="I10" s="7">
        <v>0.33</v>
      </c>
      <c r="J10" s="1"/>
      <c r="K10" s="1" t="s">
        <v>29</v>
      </c>
      <c r="L10" s="1">
        <v>0</v>
      </c>
      <c r="M10" s="1" t="s">
        <v>54</v>
      </c>
      <c r="N10" s="1">
        <v>0.8</v>
      </c>
      <c r="O10" s="1">
        <v>0.8</v>
      </c>
      <c r="P10" s="1" t="s">
        <v>55</v>
      </c>
      <c r="Q10" s="1">
        <v>0</v>
      </c>
      <c r="R10" s="8"/>
      <c r="S10" s="8"/>
      <c r="T10" s="8"/>
      <c r="U10" s="4"/>
      <c r="V10" s="4"/>
      <c r="W10" s="9"/>
      <c r="X10" s="10"/>
      <c r="Y10" s="11"/>
      <c r="Z10" s="11"/>
    </row>
    <row r="11" spans="1:30">
      <c r="A11" s="5" t="s">
        <v>56</v>
      </c>
      <c r="B11" s="1" t="s">
        <v>57</v>
      </c>
      <c r="C11" s="1" t="s">
        <v>58</v>
      </c>
      <c r="D11" s="1">
        <v>2.1920000000000002E-2</v>
      </c>
      <c r="E11" s="1" t="s">
        <v>28</v>
      </c>
      <c r="F11" s="6">
        <v>896</v>
      </c>
      <c r="G11" s="1">
        <v>167</v>
      </c>
      <c r="H11" s="7">
        <v>68900000000</v>
      </c>
      <c r="I11" s="7">
        <v>0.33</v>
      </c>
      <c r="J11" s="1"/>
      <c r="K11" s="1" t="s">
        <v>29</v>
      </c>
      <c r="L11" s="1">
        <v>9.5999999999999992E-3</v>
      </c>
      <c r="M11" s="1" t="s">
        <v>59</v>
      </c>
      <c r="N11" s="1">
        <v>0.8</v>
      </c>
      <c r="O11" s="1">
        <v>0.8</v>
      </c>
      <c r="P11" s="1" t="s">
        <v>60</v>
      </c>
      <c r="Q11" s="1">
        <v>0</v>
      </c>
      <c r="R11" s="8"/>
      <c r="S11" s="8"/>
      <c r="T11" s="8"/>
      <c r="U11" s="4"/>
      <c r="V11" s="4"/>
      <c r="W11" s="9"/>
      <c r="X11" s="10"/>
      <c r="Y11" s="11"/>
      <c r="Z11" s="11"/>
    </row>
    <row r="12" spans="1:30">
      <c r="A12" s="5" t="s">
        <v>61</v>
      </c>
      <c r="B12" s="1" t="s">
        <v>62</v>
      </c>
      <c r="C12" s="1" t="s">
        <v>63</v>
      </c>
      <c r="D12" s="1">
        <v>1.8E-3</v>
      </c>
      <c r="E12" s="1" t="s">
        <v>64</v>
      </c>
      <c r="F12" s="6">
        <v>1000</v>
      </c>
      <c r="G12" s="1">
        <v>0.188</v>
      </c>
      <c r="H12" s="1">
        <v>2460640000</v>
      </c>
      <c r="I12" s="1">
        <v>0.40100000000000002</v>
      </c>
      <c r="J12" s="1"/>
      <c r="K12" s="1" t="s">
        <v>29</v>
      </c>
      <c r="L12" s="1">
        <v>5.7600000000000001E-4</v>
      </c>
      <c r="M12" s="1" t="s">
        <v>59</v>
      </c>
      <c r="N12" s="1">
        <v>0.8</v>
      </c>
      <c r="O12" s="1">
        <v>0.8</v>
      </c>
      <c r="P12" s="1" t="s">
        <v>65</v>
      </c>
      <c r="Q12" s="1">
        <v>0</v>
      </c>
      <c r="R12" s="8"/>
      <c r="S12" s="8" t="s">
        <v>66</v>
      </c>
      <c r="T12" s="8"/>
      <c r="U12" s="4"/>
      <c r="V12" s="4"/>
      <c r="W12" s="9"/>
      <c r="X12" s="10"/>
      <c r="Y12" s="11"/>
      <c r="Z12" s="11"/>
    </row>
    <row r="13" spans="1:30">
      <c r="A13" s="5" t="s">
        <v>67</v>
      </c>
      <c r="B13" s="1" t="s">
        <v>68</v>
      </c>
      <c r="C13" s="1" t="s">
        <v>63</v>
      </c>
      <c r="D13" s="1">
        <v>1.8E-3</v>
      </c>
      <c r="E13" s="1" t="s">
        <v>64</v>
      </c>
      <c r="F13" s="6">
        <v>1000</v>
      </c>
      <c r="G13" s="1">
        <v>0.188</v>
      </c>
      <c r="H13" s="1">
        <v>2460640000</v>
      </c>
      <c r="I13" s="1">
        <v>0.40100000000000002</v>
      </c>
      <c r="J13" s="1"/>
      <c r="K13" s="1" t="s">
        <v>29</v>
      </c>
      <c r="L13" s="1">
        <v>5.7600000000000001E-4</v>
      </c>
      <c r="M13" s="1" t="s">
        <v>59</v>
      </c>
      <c r="N13" s="1">
        <v>0.8</v>
      </c>
      <c r="O13" s="1">
        <v>0.8</v>
      </c>
      <c r="P13" s="1" t="s">
        <v>65</v>
      </c>
      <c r="Q13" s="1">
        <v>0</v>
      </c>
      <c r="R13" s="8"/>
      <c r="S13" s="8" t="s">
        <v>66</v>
      </c>
      <c r="T13" s="8"/>
      <c r="U13" s="4"/>
      <c r="V13" s="4"/>
      <c r="W13" s="9"/>
      <c r="X13" s="10"/>
      <c r="Y13" s="11"/>
      <c r="Z13" s="11"/>
    </row>
    <row r="14" spans="1:30">
      <c r="A14" s="5" t="s">
        <v>69</v>
      </c>
      <c r="B14" s="1" t="s">
        <v>70</v>
      </c>
      <c r="C14" s="1" t="s">
        <v>63</v>
      </c>
      <c r="D14" s="1">
        <v>1.8E-3</v>
      </c>
      <c r="E14" s="1" t="s">
        <v>64</v>
      </c>
      <c r="F14" s="6">
        <v>1000</v>
      </c>
      <c r="G14" s="1">
        <v>0.188</v>
      </c>
      <c r="H14" s="1">
        <v>2460640000</v>
      </c>
      <c r="I14" s="1">
        <v>0.40100000000000002</v>
      </c>
      <c r="J14" s="1"/>
      <c r="K14" s="1" t="s">
        <v>29</v>
      </c>
      <c r="L14" s="1">
        <v>5.7600000000000001E-4</v>
      </c>
      <c r="M14" s="1" t="s">
        <v>59</v>
      </c>
      <c r="N14" s="1">
        <v>0.8</v>
      </c>
      <c r="O14" s="1">
        <v>0.8</v>
      </c>
      <c r="P14" s="1" t="s">
        <v>65</v>
      </c>
      <c r="Q14" s="1">
        <v>0</v>
      </c>
      <c r="R14" s="8"/>
      <c r="S14" s="8" t="s">
        <v>66</v>
      </c>
      <c r="T14" s="8"/>
      <c r="U14" s="4"/>
      <c r="V14" s="4"/>
      <c r="W14" s="9"/>
      <c r="X14" s="10"/>
      <c r="Y14" s="11"/>
      <c r="Z14" s="11"/>
    </row>
    <row r="15" spans="1:30">
      <c r="A15" s="5" t="s">
        <v>71</v>
      </c>
      <c r="B15" s="1" t="s">
        <v>72</v>
      </c>
      <c r="C15" s="1" t="s">
        <v>63</v>
      </c>
      <c r="D15" s="1">
        <v>1.8E-3</v>
      </c>
      <c r="E15" s="1" t="s">
        <v>64</v>
      </c>
      <c r="F15" s="6">
        <v>1000</v>
      </c>
      <c r="G15" s="1">
        <v>0.188</v>
      </c>
      <c r="H15" s="1">
        <v>2460640000</v>
      </c>
      <c r="I15" s="1">
        <v>0.40100000000000002</v>
      </c>
      <c r="J15" s="1"/>
      <c r="K15" s="1" t="s">
        <v>29</v>
      </c>
      <c r="L15" s="1">
        <v>5.7600000000000001E-4</v>
      </c>
      <c r="M15" s="1" t="s">
        <v>59</v>
      </c>
      <c r="N15" s="1">
        <v>0.8</v>
      </c>
      <c r="O15" s="1">
        <v>0.8</v>
      </c>
      <c r="P15" s="1" t="s">
        <v>65</v>
      </c>
      <c r="Q15" s="1">
        <v>0</v>
      </c>
      <c r="R15" s="8"/>
      <c r="S15" s="8" t="s">
        <v>66</v>
      </c>
      <c r="T15" s="8"/>
      <c r="U15" s="4"/>
      <c r="V15" s="4"/>
      <c r="W15" s="9"/>
      <c r="X15" s="10"/>
      <c r="Y15" s="11"/>
      <c r="Z15" s="11"/>
    </row>
    <row r="16" spans="1:30">
      <c r="A16" s="5" t="s">
        <v>73</v>
      </c>
      <c r="B16" s="1" t="s">
        <v>74</v>
      </c>
      <c r="C16" s="1" t="s">
        <v>75</v>
      </c>
      <c r="D16" s="1">
        <v>2.375E-2</v>
      </c>
      <c r="E16" s="1" t="s">
        <v>76</v>
      </c>
      <c r="F16" s="6">
        <v>1100</v>
      </c>
      <c r="G16" s="1">
        <v>0.28999999999999998</v>
      </c>
      <c r="H16" s="1">
        <v>21000000000</v>
      </c>
      <c r="I16" s="1">
        <v>0.13600000000000001</v>
      </c>
      <c r="J16" s="1"/>
      <c r="K16" s="1" t="s">
        <v>29</v>
      </c>
      <c r="L16" s="1">
        <v>0</v>
      </c>
      <c r="M16" s="1" t="s">
        <v>29</v>
      </c>
      <c r="N16" s="1" t="s">
        <v>29</v>
      </c>
      <c r="O16" s="1" t="s">
        <v>29</v>
      </c>
      <c r="P16" s="1" t="s">
        <v>77</v>
      </c>
      <c r="Q16" s="1">
        <v>0</v>
      </c>
      <c r="R16" s="8" t="s">
        <v>66</v>
      </c>
      <c r="S16" s="8" t="s">
        <v>66</v>
      </c>
      <c r="T16" s="8"/>
      <c r="U16" s="4"/>
      <c r="V16" s="4"/>
      <c r="W16" s="9"/>
      <c r="X16" s="10"/>
      <c r="Y16" s="11"/>
      <c r="Z16" s="11"/>
    </row>
    <row r="17" spans="1:26">
      <c r="A17" s="5" t="s">
        <v>78</v>
      </c>
      <c r="B17" s="1" t="s">
        <v>79</v>
      </c>
      <c r="C17" s="1" t="s">
        <v>80</v>
      </c>
      <c r="D17" s="1">
        <v>0.12590999999999999</v>
      </c>
      <c r="E17" s="1" t="s">
        <v>81</v>
      </c>
      <c r="F17" s="6">
        <v>800</v>
      </c>
      <c r="G17" s="12" t="s">
        <v>29</v>
      </c>
      <c r="H17" s="1"/>
      <c r="I17" s="1"/>
      <c r="J17" s="1"/>
      <c r="K17" s="1" t="s">
        <v>29</v>
      </c>
      <c r="L17" s="1">
        <v>0</v>
      </c>
      <c r="M17" s="1" t="s">
        <v>29</v>
      </c>
      <c r="N17" s="1" t="s">
        <v>29</v>
      </c>
      <c r="O17" s="1" t="s">
        <v>29</v>
      </c>
      <c r="P17" s="1" t="s">
        <v>82</v>
      </c>
      <c r="Q17" s="1">
        <v>0</v>
      </c>
      <c r="R17" s="8"/>
      <c r="S17" s="8"/>
      <c r="T17" s="8"/>
      <c r="U17" s="4"/>
      <c r="V17" s="4"/>
      <c r="W17" s="9"/>
      <c r="X17" s="10"/>
      <c r="Y17" s="11"/>
      <c r="Z17" s="11"/>
    </row>
    <row r="18" spans="1:26">
      <c r="A18" s="5" t="s">
        <v>83</v>
      </c>
      <c r="B18" s="1" t="s">
        <v>84</v>
      </c>
      <c r="C18" s="1" t="s">
        <v>85</v>
      </c>
      <c r="D18" s="1">
        <v>3.9E-2</v>
      </c>
      <c r="E18" s="1" t="s">
        <v>86</v>
      </c>
      <c r="F18" s="6">
        <v>932.5</v>
      </c>
      <c r="G18" s="1">
        <v>0.4</v>
      </c>
      <c r="H18" s="1">
        <v>1710000000</v>
      </c>
      <c r="I18" s="1"/>
      <c r="J18" s="1"/>
      <c r="K18" s="1" t="s">
        <v>29</v>
      </c>
      <c r="L18" s="1">
        <v>0</v>
      </c>
      <c r="M18" s="1" t="s">
        <v>29</v>
      </c>
      <c r="N18" s="1" t="s">
        <v>29</v>
      </c>
      <c r="O18" s="1" t="s">
        <v>29</v>
      </c>
      <c r="P18" s="1" t="s">
        <v>77</v>
      </c>
      <c r="Q18" s="1">
        <v>0.5</v>
      </c>
      <c r="R18" s="8"/>
      <c r="S18" s="8" t="s">
        <v>66</v>
      </c>
      <c r="T18" s="8"/>
      <c r="U18" s="4"/>
      <c r="V18" s="4"/>
      <c r="W18" s="9"/>
      <c r="X18" s="10"/>
      <c r="Y18" s="11"/>
      <c r="Z18" s="11"/>
    </row>
    <row r="19" spans="1:26">
      <c r="A19" s="5" t="s">
        <v>87</v>
      </c>
      <c r="B19" s="1" t="s">
        <v>88</v>
      </c>
      <c r="C19" s="1" t="s">
        <v>85</v>
      </c>
      <c r="D19" s="1">
        <v>3.9E-2</v>
      </c>
      <c r="E19" s="1" t="s">
        <v>86</v>
      </c>
      <c r="F19" s="6">
        <v>932.5</v>
      </c>
      <c r="G19" s="1">
        <v>0.4</v>
      </c>
      <c r="H19" s="1">
        <v>1710000000</v>
      </c>
      <c r="I19" s="1">
        <v>0.3</v>
      </c>
      <c r="J19" s="1"/>
      <c r="K19" s="1" t="s">
        <v>29</v>
      </c>
      <c r="L19" s="1">
        <v>0</v>
      </c>
      <c r="M19" s="1" t="s">
        <v>29</v>
      </c>
      <c r="N19" s="1" t="s">
        <v>29</v>
      </c>
      <c r="O19" s="1" t="s">
        <v>29</v>
      </c>
      <c r="P19" s="1" t="s">
        <v>77</v>
      </c>
      <c r="Q19" s="1">
        <v>0.5</v>
      </c>
      <c r="R19" s="8"/>
      <c r="S19" s="8" t="s">
        <v>66</v>
      </c>
      <c r="T19" s="8"/>
      <c r="U19" s="4"/>
      <c r="V19" s="4"/>
      <c r="W19" s="9"/>
      <c r="X19" s="10"/>
      <c r="Y19" s="11"/>
      <c r="Z19" s="11"/>
    </row>
    <row r="20" spans="1:26">
      <c r="A20" s="5" t="s">
        <v>89</v>
      </c>
      <c r="B20" s="1" t="s">
        <v>90</v>
      </c>
      <c r="C20" s="1" t="s">
        <v>85</v>
      </c>
      <c r="D20" s="1">
        <v>3.9E-2</v>
      </c>
      <c r="E20" s="1" t="s">
        <v>86</v>
      </c>
      <c r="F20" s="6">
        <v>932.5</v>
      </c>
      <c r="G20" s="1">
        <v>0.4</v>
      </c>
      <c r="H20" s="1">
        <v>1710000000</v>
      </c>
      <c r="I20" s="1">
        <v>0.3</v>
      </c>
      <c r="J20" s="1"/>
      <c r="K20" s="1" t="s">
        <v>29</v>
      </c>
      <c r="L20" s="1">
        <v>0</v>
      </c>
      <c r="M20" s="1" t="s">
        <v>29</v>
      </c>
      <c r="N20" s="1" t="s">
        <v>29</v>
      </c>
      <c r="O20" s="1" t="s">
        <v>29</v>
      </c>
      <c r="P20" s="1" t="s">
        <v>77</v>
      </c>
      <c r="Q20" s="1">
        <v>0.5</v>
      </c>
      <c r="R20" s="8"/>
      <c r="S20" s="8" t="s">
        <v>66</v>
      </c>
      <c r="T20" s="8"/>
      <c r="U20" s="4"/>
      <c r="V20" s="4"/>
      <c r="W20" s="9"/>
      <c r="X20" s="10"/>
      <c r="Y20" s="11"/>
      <c r="Z20" s="11"/>
    </row>
    <row r="21" spans="1:26">
      <c r="A21" s="5" t="s">
        <v>91</v>
      </c>
      <c r="B21" s="1" t="s">
        <v>92</v>
      </c>
      <c r="C21" s="1" t="s">
        <v>85</v>
      </c>
      <c r="D21" s="1">
        <v>3.9E-2</v>
      </c>
      <c r="E21" s="1" t="s">
        <v>86</v>
      </c>
      <c r="F21" s="6">
        <v>932.5</v>
      </c>
      <c r="G21" s="1">
        <v>0.4</v>
      </c>
      <c r="H21" s="1">
        <v>1710000000</v>
      </c>
      <c r="I21" s="1">
        <v>0.3</v>
      </c>
      <c r="J21" s="1"/>
      <c r="K21" s="1" t="s">
        <v>29</v>
      </c>
      <c r="L21" s="1">
        <v>0</v>
      </c>
      <c r="M21" s="1" t="s">
        <v>29</v>
      </c>
      <c r="N21" s="1" t="s">
        <v>29</v>
      </c>
      <c r="O21" s="1" t="s">
        <v>29</v>
      </c>
      <c r="P21" s="1" t="s">
        <v>77</v>
      </c>
      <c r="Q21" s="1">
        <v>0.5</v>
      </c>
      <c r="R21" s="8"/>
      <c r="S21" s="8" t="s">
        <v>66</v>
      </c>
      <c r="T21" s="8"/>
      <c r="U21" s="4"/>
      <c r="V21" s="4"/>
      <c r="W21" s="9"/>
      <c r="X21" s="10"/>
      <c r="Y21" s="11"/>
      <c r="Z21" s="11"/>
    </row>
    <row r="22" spans="1:26">
      <c r="A22" s="5" t="s">
        <v>93</v>
      </c>
      <c r="B22" s="1" t="s">
        <v>94</v>
      </c>
      <c r="C22" s="1" t="s">
        <v>95</v>
      </c>
      <c r="D22" s="1">
        <v>0.05</v>
      </c>
      <c r="E22" s="1" t="s">
        <v>96</v>
      </c>
      <c r="F22" s="6">
        <v>1000</v>
      </c>
      <c r="G22" s="1">
        <v>1.17</v>
      </c>
      <c r="H22" s="1">
        <v>260000000</v>
      </c>
      <c r="I22" s="1">
        <v>0.1</v>
      </c>
      <c r="J22" s="1"/>
      <c r="K22" s="1" t="s">
        <v>29</v>
      </c>
      <c r="L22" s="1">
        <v>0</v>
      </c>
      <c r="M22" s="1" t="s">
        <v>29</v>
      </c>
      <c r="N22" s="1" t="s">
        <v>29</v>
      </c>
      <c r="O22" s="1" t="s">
        <v>29</v>
      </c>
      <c r="P22" s="1" t="s">
        <v>77</v>
      </c>
      <c r="Q22" s="1">
        <v>0.1</v>
      </c>
      <c r="R22" s="8" t="s">
        <v>66</v>
      </c>
      <c r="S22" s="8" t="s">
        <v>66</v>
      </c>
      <c r="T22" s="8"/>
      <c r="U22" s="4" t="s">
        <v>66</v>
      </c>
      <c r="V22" s="4" t="s">
        <v>66</v>
      </c>
      <c r="W22" s="9"/>
      <c r="X22" s="10"/>
      <c r="Y22" s="11"/>
      <c r="Z22" s="11"/>
    </row>
    <row r="23" spans="1:26">
      <c r="A23" s="5" t="s">
        <v>97</v>
      </c>
      <c r="B23" s="1" t="s">
        <v>98</v>
      </c>
      <c r="C23" s="1" t="s">
        <v>95</v>
      </c>
      <c r="D23" s="1">
        <v>0.05</v>
      </c>
      <c r="E23" s="1" t="s">
        <v>96</v>
      </c>
      <c r="F23" s="6">
        <v>1000</v>
      </c>
      <c r="G23" s="1">
        <v>1.17</v>
      </c>
      <c r="H23" s="1">
        <v>260000000</v>
      </c>
      <c r="I23" s="1">
        <v>0.1</v>
      </c>
      <c r="J23" s="1"/>
      <c r="K23" s="1" t="s">
        <v>29</v>
      </c>
      <c r="L23" s="1">
        <v>0</v>
      </c>
      <c r="M23" s="1" t="s">
        <v>29</v>
      </c>
      <c r="N23" s="1" t="s">
        <v>29</v>
      </c>
      <c r="O23" s="1" t="s">
        <v>29</v>
      </c>
      <c r="P23" s="1" t="s">
        <v>77</v>
      </c>
      <c r="Q23" s="1">
        <v>0</v>
      </c>
      <c r="R23" s="8" t="s">
        <v>66</v>
      </c>
      <c r="S23" s="8" t="s">
        <v>66</v>
      </c>
      <c r="T23" s="8"/>
      <c r="U23" s="4" t="s">
        <v>66</v>
      </c>
      <c r="V23" s="4" t="s">
        <v>66</v>
      </c>
      <c r="W23" s="9"/>
      <c r="X23" s="10"/>
      <c r="Y23" s="11"/>
      <c r="Z23" s="11"/>
    </row>
    <row r="24" spans="1:26">
      <c r="A24" s="5" t="s">
        <v>99</v>
      </c>
      <c r="B24" s="1" t="s">
        <v>100</v>
      </c>
      <c r="C24" s="1" t="s">
        <v>101</v>
      </c>
      <c r="D24" s="1">
        <v>3.8490000000000003E-2</v>
      </c>
      <c r="E24" s="1" t="s">
        <v>76</v>
      </c>
      <c r="F24" s="6">
        <v>1100</v>
      </c>
      <c r="G24" s="1">
        <v>0.28999999999999998</v>
      </c>
      <c r="H24" s="13">
        <v>21000000000</v>
      </c>
      <c r="I24" s="1">
        <v>0.13600000000000001</v>
      </c>
      <c r="J24" s="1"/>
      <c r="K24" s="1" t="s">
        <v>29</v>
      </c>
      <c r="L24" s="1">
        <v>0</v>
      </c>
      <c r="M24" s="1" t="s">
        <v>29</v>
      </c>
      <c r="N24" s="1" t="s">
        <v>29</v>
      </c>
      <c r="O24" s="1" t="s">
        <v>29</v>
      </c>
      <c r="P24" s="1" t="s">
        <v>102</v>
      </c>
      <c r="Q24" s="1">
        <v>0.5</v>
      </c>
      <c r="R24" s="8" t="s">
        <v>66</v>
      </c>
      <c r="S24" s="8" t="s">
        <v>66</v>
      </c>
      <c r="T24" s="8"/>
      <c r="U24" s="4"/>
      <c r="V24" s="4"/>
      <c r="W24" s="9"/>
      <c r="X24" s="10"/>
      <c r="Y24" s="11"/>
      <c r="Z24" s="11"/>
    </row>
    <row r="25" spans="1:26">
      <c r="A25" s="5" t="s">
        <v>103</v>
      </c>
      <c r="B25" s="1" t="s">
        <v>104</v>
      </c>
      <c r="C25" s="1" t="s">
        <v>105</v>
      </c>
      <c r="D25" s="1">
        <v>7.4999999999999997E-2</v>
      </c>
      <c r="E25" s="1" t="s">
        <v>76</v>
      </c>
      <c r="F25" s="6">
        <v>1100</v>
      </c>
      <c r="G25" s="1">
        <v>0.28999999999999998</v>
      </c>
      <c r="H25" s="13">
        <v>21000000000</v>
      </c>
      <c r="I25" s="1">
        <v>0.13600000000000001</v>
      </c>
      <c r="J25" s="1"/>
      <c r="K25" s="1" t="s">
        <v>29</v>
      </c>
      <c r="L25" s="1">
        <v>0</v>
      </c>
      <c r="M25" s="1" t="s">
        <v>29</v>
      </c>
      <c r="N25" s="1" t="s">
        <v>29</v>
      </c>
      <c r="O25" s="1" t="s">
        <v>29</v>
      </c>
      <c r="P25" s="1" t="s">
        <v>106</v>
      </c>
      <c r="Q25" s="1">
        <v>0.5</v>
      </c>
      <c r="R25" s="8"/>
      <c r="S25" s="8"/>
      <c r="T25" s="8" t="s">
        <v>66</v>
      </c>
      <c r="U25" s="4" t="s">
        <v>66</v>
      </c>
      <c r="V25" s="4" t="s">
        <v>66</v>
      </c>
      <c r="W25" s="9"/>
      <c r="X25" s="10"/>
      <c r="Y25" s="11"/>
      <c r="Z25" s="11"/>
    </row>
    <row r="26" spans="1:26">
      <c r="A26" s="5" t="s">
        <v>107</v>
      </c>
      <c r="B26" s="1" t="s">
        <v>108</v>
      </c>
      <c r="C26" s="1" t="s">
        <v>109</v>
      </c>
      <c r="D26" s="1">
        <v>8.5000000000000006E-2</v>
      </c>
      <c r="E26" s="1" t="s">
        <v>110</v>
      </c>
      <c r="F26" s="6">
        <v>857.4</v>
      </c>
      <c r="G26" s="1">
        <v>167</v>
      </c>
      <c r="H26" s="1">
        <v>2000000000</v>
      </c>
      <c r="I26" s="1">
        <v>0.34</v>
      </c>
      <c r="J26" s="1"/>
      <c r="K26" s="1">
        <v>0.7</v>
      </c>
      <c r="L26" s="1">
        <v>0</v>
      </c>
      <c r="M26" s="1" t="s">
        <v>29</v>
      </c>
      <c r="N26" s="1" t="s">
        <v>29</v>
      </c>
      <c r="O26" s="1" t="s">
        <v>29</v>
      </c>
      <c r="P26" s="1" t="s">
        <v>111</v>
      </c>
      <c r="Q26" s="1">
        <v>2</v>
      </c>
      <c r="R26" s="8"/>
      <c r="S26" s="8"/>
      <c r="T26" s="8" t="s">
        <v>66</v>
      </c>
      <c r="U26" s="4" t="s">
        <v>66</v>
      </c>
      <c r="V26" s="4" t="s">
        <v>66</v>
      </c>
      <c r="W26" s="9"/>
      <c r="X26" s="10"/>
      <c r="Y26" s="11"/>
      <c r="Z26" s="11"/>
    </row>
    <row r="27" spans="1:26">
      <c r="A27" s="5" t="s">
        <v>112</v>
      </c>
      <c r="B27" s="1" t="s">
        <v>113</v>
      </c>
      <c r="C27" s="1" t="s">
        <v>114</v>
      </c>
      <c r="D27" s="1">
        <v>2.4E-2</v>
      </c>
      <c r="E27" s="1" t="s">
        <v>76</v>
      </c>
      <c r="F27" s="6">
        <v>1100</v>
      </c>
      <c r="G27" s="1">
        <v>0.28999999999999998</v>
      </c>
      <c r="H27" s="14">
        <v>21000000000</v>
      </c>
      <c r="I27" s="1">
        <v>0.13600000000000001</v>
      </c>
      <c r="J27" s="1"/>
      <c r="K27" s="1" t="s">
        <v>29</v>
      </c>
      <c r="L27" s="1">
        <v>0</v>
      </c>
      <c r="M27" s="1" t="s">
        <v>29</v>
      </c>
      <c r="N27" s="1" t="s">
        <v>29</v>
      </c>
      <c r="O27" s="1" t="s">
        <v>29</v>
      </c>
      <c r="P27" s="1" t="s">
        <v>115</v>
      </c>
      <c r="Q27" s="15">
        <v>1.5</v>
      </c>
      <c r="R27" s="8" t="s">
        <v>66</v>
      </c>
      <c r="S27" s="8" t="s">
        <v>66</v>
      </c>
      <c r="T27" s="8" t="s">
        <v>66</v>
      </c>
      <c r="U27" s="4" t="s">
        <v>66</v>
      </c>
      <c r="V27" s="4" t="s">
        <v>66</v>
      </c>
      <c r="W27" s="9"/>
      <c r="X27" s="10"/>
      <c r="Y27" s="11"/>
      <c r="Z27" s="11"/>
    </row>
    <row r="28" spans="1:26">
      <c r="A28" s="5" t="s">
        <v>116</v>
      </c>
      <c r="B28" s="1" t="s">
        <v>117</v>
      </c>
      <c r="C28" s="1" t="s">
        <v>118</v>
      </c>
      <c r="D28" s="1">
        <v>5.2999999999999999E-2</v>
      </c>
      <c r="E28" s="1" t="s">
        <v>119</v>
      </c>
      <c r="F28" s="6">
        <v>703</v>
      </c>
      <c r="G28" s="1">
        <v>0.35</v>
      </c>
      <c r="H28" s="1">
        <v>20684270000</v>
      </c>
      <c r="I28" s="1">
        <v>0.12</v>
      </c>
      <c r="J28" s="1"/>
      <c r="K28" s="1">
        <v>2.2000000000000001E-3</v>
      </c>
      <c r="L28" s="1">
        <v>8.0940000000000005E-3</v>
      </c>
      <c r="M28" s="1" t="s">
        <v>120</v>
      </c>
      <c r="N28" s="1">
        <v>0.8</v>
      </c>
      <c r="O28" s="1">
        <v>0.8</v>
      </c>
      <c r="P28" s="1" t="s">
        <v>121</v>
      </c>
      <c r="Q28" s="16">
        <v>2.4</v>
      </c>
      <c r="R28" s="8"/>
      <c r="S28" s="8"/>
      <c r="T28" s="8"/>
      <c r="U28" s="4"/>
      <c r="V28" s="4"/>
      <c r="W28" s="9"/>
      <c r="X28" s="10"/>
      <c r="Y28" s="11"/>
      <c r="Z28" s="11"/>
    </row>
    <row r="29" spans="1:26">
      <c r="A29" s="5" t="s">
        <v>122</v>
      </c>
      <c r="B29" s="1" t="s">
        <v>123</v>
      </c>
      <c r="C29" s="1" t="s">
        <v>124</v>
      </c>
      <c r="D29" s="1">
        <v>4.3999999999999997E-2</v>
      </c>
      <c r="E29" s="1" t="s">
        <v>119</v>
      </c>
      <c r="F29" s="6">
        <v>703</v>
      </c>
      <c r="G29" s="1">
        <v>0.35</v>
      </c>
      <c r="H29" s="1">
        <v>20684270000</v>
      </c>
      <c r="I29" s="1">
        <v>0.12</v>
      </c>
      <c r="J29" s="1"/>
      <c r="K29" s="1">
        <v>2.2000000000000001E-3</v>
      </c>
      <c r="L29" s="1">
        <v>8.0940000000000005E-3</v>
      </c>
      <c r="M29" s="1" t="s">
        <v>125</v>
      </c>
      <c r="N29" s="1">
        <v>0.8</v>
      </c>
      <c r="O29" s="1">
        <v>0.8</v>
      </c>
      <c r="P29" s="1" t="s">
        <v>126</v>
      </c>
      <c r="Q29" s="16">
        <v>2.4</v>
      </c>
      <c r="R29" s="8"/>
      <c r="S29" s="8"/>
      <c r="T29" s="8"/>
      <c r="U29" s="4"/>
      <c r="V29" s="4"/>
      <c r="W29" s="9"/>
      <c r="X29" s="10"/>
      <c r="Y29" s="11"/>
      <c r="Z29" s="11"/>
    </row>
    <row r="30" spans="1:26">
      <c r="A30" s="5" t="s">
        <v>127</v>
      </c>
      <c r="B30" s="17" t="s">
        <v>128</v>
      </c>
      <c r="C30" s="1" t="s">
        <v>129</v>
      </c>
      <c r="D30" s="1">
        <v>4.4999999999999998E-2</v>
      </c>
      <c r="E30" s="1" t="s">
        <v>119</v>
      </c>
      <c r="F30" s="6">
        <v>703</v>
      </c>
      <c r="G30" s="1">
        <v>0.35</v>
      </c>
      <c r="H30" s="1">
        <v>20684270000</v>
      </c>
      <c r="I30" s="1">
        <v>0.12</v>
      </c>
      <c r="J30" s="1"/>
      <c r="K30" s="1">
        <v>2.2000000000000001E-3</v>
      </c>
      <c r="L30" s="1">
        <v>8.0940000000000005E-3</v>
      </c>
      <c r="M30" s="1" t="s">
        <v>30</v>
      </c>
      <c r="N30" s="1">
        <v>0.8</v>
      </c>
      <c r="O30" s="1">
        <v>0.8</v>
      </c>
      <c r="P30" s="1" t="s">
        <v>130</v>
      </c>
      <c r="Q30" s="16">
        <v>2.4</v>
      </c>
      <c r="R30" s="8"/>
      <c r="S30" s="8"/>
      <c r="T30" s="8"/>
      <c r="U30" s="4"/>
      <c r="V30" s="4"/>
      <c r="W30" s="9"/>
      <c r="X30" s="10"/>
      <c r="Y30" s="11"/>
      <c r="Z30" s="11"/>
    </row>
    <row r="31" spans="1:26">
      <c r="A31" s="5" t="s">
        <v>131</v>
      </c>
      <c r="B31" s="17" t="s">
        <v>132</v>
      </c>
      <c r="C31" s="1" t="s">
        <v>118</v>
      </c>
      <c r="D31" s="1">
        <v>5.2999999999999999E-2</v>
      </c>
      <c r="E31" s="1" t="s">
        <v>119</v>
      </c>
      <c r="F31" s="6">
        <v>703</v>
      </c>
      <c r="G31" s="1">
        <v>0.35</v>
      </c>
      <c r="H31" s="1">
        <v>20684270000</v>
      </c>
      <c r="I31" s="1">
        <v>0.12</v>
      </c>
      <c r="J31" s="1"/>
      <c r="K31" s="1">
        <v>2.2000000000000001E-3</v>
      </c>
      <c r="L31" s="1">
        <v>8.0940000000000005E-3</v>
      </c>
      <c r="M31" s="1" t="s">
        <v>34</v>
      </c>
      <c r="N31" s="1">
        <v>0.8</v>
      </c>
      <c r="O31" s="1">
        <v>0.8</v>
      </c>
      <c r="P31" s="1" t="s">
        <v>133</v>
      </c>
      <c r="Q31" s="16">
        <v>2.4</v>
      </c>
      <c r="R31" s="8"/>
      <c r="S31" s="8"/>
      <c r="T31" s="8"/>
      <c r="U31" s="4"/>
      <c r="V31" s="4"/>
      <c r="W31" s="9"/>
      <c r="X31" s="10"/>
      <c r="Y31" s="11"/>
      <c r="Z31" s="11"/>
    </row>
    <row r="32" spans="1:26">
      <c r="A32" s="5" t="s">
        <v>134</v>
      </c>
      <c r="B32" s="1" t="s">
        <v>135</v>
      </c>
      <c r="C32" s="1" t="s">
        <v>136</v>
      </c>
      <c r="D32" s="1">
        <v>5.7500000000000002E-2</v>
      </c>
      <c r="E32" s="1" t="s">
        <v>119</v>
      </c>
      <c r="F32" s="6">
        <v>703</v>
      </c>
      <c r="G32" s="1">
        <v>0.35</v>
      </c>
      <c r="H32" s="1">
        <v>20684270000</v>
      </c>
      <c r="I32" s="1">
        <v>0.12</v>
      </c>
      <c r="J32" s="1"/>
      <c r="K32" s="1">
        <v>2.2000000000000001E-3</v>
      </c>
      <c r="L32" s="1">
        <v>8.4469999999999996E-3</v>
      </c>
      <c r="M32" s="1" t="s">
        <v>137</v>
      </c>
      <c r="N32" s="1">
        <v>0.8</v>
      </c>
      <c r="O32" s="1">
        <v>0.8</v>
      </c>
      <c r="P32" s="1" t="s">
        <v>138</v>
      </c>
      <c r="Q32" s="16">
        <v>2.4</v>
      </c>
      <c r="R32" s="8"/>
      <c r="S32" s="8"/>
      <c r="T32" s="8"/>
      <c r="U32" s="4"/>
      <c r="V32" s="4"/>
      <c r="W32" s="9"/>
      <c r="X32" s="10"/>
      <c r="Y32" s="11"/>
      <c r="Z32" s="11"/>
    </row>
    <row r="33" spans="1:17">
      <c r="A33" s="5" t="s">
        <v>139</v>
      </c>
      <c r="B33" s="1" t="s">
        <v>140</v>
      </c>
      <c r="C33" s="1" t="s">
        <v>141</v>
      </c>
      <c r="D33" s="1">
        <v>0.04</v>
      </c>
      <c r="E33" s="1" t="s">
        <v>76</v>
      </c>
      <c r="F33" s="18">
        <v>1100</v>
      </c>
      <c r="G33" s="1">
        <v>0.28999999999999998</v>
      </c>
      <c r="H33" s="14">
        <v>21000000000</v>
      </c>
      <c r="I33" s="7">
        <v>0.13600000000000001</v>
      </c>
      <c r="J33" s="1"/>
      <c r="K33" s="1"/>
      <c r="L33" s="1">
        <v>0</v>
      </c>
      <c r="M33" s="1" t="s">
        <v>29</v>
      </c>
      <c r="N33" s="1" t="s">
        <v>29</v>
      </c>
      <c r="O33" s="1" t="s">
        <v>29</v>
      </c>
      <c r="P33" s="1" t="s">
        <v>142</v>
      </c>
      <c r="Q33" s="16"/>
    </row>
    <row r="34" spans="1:17">
      <c r="A34" s="19"/>
      <c r="B34" s="19"/>
      <c r="C34" s="1"/>
      <c r="D34" s="19"/>
      <c r="E34" s="1"/>
      <c r="F34" s="19"/>
      <c r="L34" s="19"/>
      <c r="M34" s="19"/>
      <c r="N34" s="19"/>
      <c r="O34" s="19"/>
      <c r="P34" s="19"/>
    </row>
    <row r="35" spans="1:17">
      <c r="A35" s="19"/>
      <c r="B35" s="19"/>
      <c r="C35" s="1"/>
      <c r="D35" s="19"/>
      <c r="E35" s="1"/>
      <c r="F35" s="19"/>
      <c r="L35" s="19"/>
      <c r="M35" s="19"/>
      <c r="N35" s="19"/>
      <c r="O35" s="19"/>
      <c r="P35" s="19"/>
    </row>
    <row r="36" spans="1:17">
      <c r="A36" s="19"/>
      <c r="B36" s="19"/>
      <c r="C36" s="1"/>
      <c r="D36" s="19"/>
      <c r="E36" s="1"/>
      <c r="F36" s="19"/>
      <c r="L36" s="19"/>
      <c r="M36" s="19"/>
      <c r="N36" s="19"/>
      <c r="O36" s="19"/>
      <c r="P36" s="19"/>
    </row>
    <row r="37" spans="1:17">
      <c r="A37" s="19"/>
      <c r="B37" s="19"/>
      <c r="C37" s="1"/>
      <c r="D37" s="19"/>
      <c r="E37" s="1"/>
      <c r="F37" s="19"/>
      <c r="L37" s="19"/>
      <c r="M37" s="19"/>
      <c r="N37" s="19"/>
      <c r="O37" s="19"/>
      <c r="P37" s="19"/>
    </row>
    <row r="38" spans="1:17">
      <c r="A38" s="19"/>
      <c r="B38" s="19"/>
      <c r="C38" s="1"/>
      <c r="D38" s="19"/>
      <c r="E38" s="1"/>
      <c r="F38" s="19"/>
      <c r="L38" s="19"/>
      <c r="M38" s="19"/>
      <c r="N38" s="19"/>
      <c r="O38" s="19"/>
      <c r="P38" s="19"/>
    </row>
    <row r="39" spans="1:17">
      <c r="C39" s="1"/>
      <c r="E39" s="1"/>
    </row>
    <row r="40" spans="1:17">
      <c r="A40" s="2" t="s">
        <v>3</v>
      </c>
      <c r="B40" s="2" t="s">
        <v>4</v>
      </c>
      <c r="C40" s="2" t="s">
        <v>6</v>
      </c>
      <c r="D40" s="2" t="s">
        <v>8</v>
      </c>
      <c r="E40" s="2" t="s">
        <v>14</v>
      </c>
      <c r="F40" s="2" t="s">
        <v>15</v>
      </c>
      <c r="G40" s="2" t="s">
        <v>16</v>
      </c>
      <c r="H40" s="2" t="s">
        <v>17</v>
      </c>
      <c r="I40" s="2" t="s">
        <v>18</v>
      </c>
      <c r="J40" s="2" t="s">
        <v>19</v>
      </c>
      <c r="K40" s="2" t="s">
        <v>9</v>
      </c>
      <c r="L40" s="2" t="s">
        <v>13</v>
      </c>
    </row>
    <row r="41" spans="1:17">
      <c r="A41" s="75" t="s">
        <v>25</v>
      </c>
      <c r="B41" s="71" t="s">
        <v>26</v>
      </c>
      <c r="C41" s="71">
        <v>4.0648000000000004E-2</v>
      </c>
      <c r="D41" s="78">
        <v>896</v>
      </c>
      <c r="E41" s="71">
        <v>5.1999999999999998E-3</v>
      </c>
      <c r="F41" s="71" t="s">
        <v>30</v>
      </c>
      <c r="G41" s="71">
        <v>0.8</v>
      </c>
      <c r="H41" s="71">
        <v>0.8</v>
      </c>
      <c r="I41" s="71" t="s">
        <v>31</v>
      </c>
      <c r="J41" s="71">
        <v>0</v>
      </c>
      <c r="K41" s="71">
        <v>167</v>
      </c>
      <c r="L41" s="71" t="s">
        <v>29</v>
      </c>
      <c r="M41" s="19"/>
      <c r="N41" s="19"/>
      <c r="O41" s="19"/>
      <c r="P41" s="19"/>
    </row>
    <row r="42" spans="1:17">
      <c r="A42" s="76" t="s">
        <v>32</v>
      </c>
      <c r="B42" s="72" t="s">
        <v>33</v>
      </c>
      <c r="C42" s="72">
        <v>4.0648000000000004E-2</v>
      </c>
      <c r="D42" s="78">
        <v>896</v>
      </c>
      <c r="E42" s="72">
        <v>5.1999999999999998E-3</v>
      </c>
      <c r="F42" s="72" t="s">
        <v>34</v>
      </c>
      <c r="G42" s="72">
        <v>0.8</v>
      </c>
      <c r="H42" s="72">
        <v>0.8</v>
      </c>
      <c r="I42" s="72" t="s">
        <v>35</v>
      </c>
      <c r="J42" s="72">
        <v>0</v>
      </c>
      <c r="K42" s="72">
        <v>167</v>
      </c>
      <c r="L42" s="72" t="s">
        <v>29</v>
      </c>
      <c r="M42" s="19"/>
      <c r="N42" s="19"/>
      <c r="O42" s="19"/>
      <c r="P42" s="19"/>
    </row>
    <row r="43" spans="1:17">
      <c r="A43" s="75" t="s">
        <v>36</v>
      </c>
      <c r="B43" s="71" t="s">
        <v>37</v>
      </c>
      <c r="C43" s="71">
        <v>7.2910000000000006E-3</v>
      </c>
      <c r="D43" s="78">
        <v>896</v>
      </c>
      <c r="E43" s="71">
        <v>0</v>
      </c>
      <c r="F43" s="71" t="s">
        <v>39</v>
      </c>
      <c r="G43" s="71">
        <v>0.8</v>
      </c>
      <c r="H43" s="71">
        <v>0.8</v>
      </c>
      <c r="I43" s="71" t="s">
        <v>40</v>
      </c>
      <c r="J43" s="71">
        <v>0</v>
      </c>
      <c r="K43" s="71">
        <v>167</v>
      </c>
      <c r="L43" s="71" t="s">
        <v>29</v>
      </c>
      <c r="M43" s="19"/>
      <c r="N43" s="19"/>
      <c r="O43" s="19"/>
      <c r="P43" s="19"/>
    </row>
    <row r="44" spans="1:17">
      <c r="A44" s="76" t="s">
        <v>41</v>
      </c>
      <c r="B44" s="72" t="s">
        <v>42</v>
      </c>
      <c r="C44" s="72">
        <v>7.3419999999999996E-3</v>
      </c>
      <c r="D44" s="78">
        <v>896</v>
      </c>
      <c r="E44" s="72">
        <v>0</v>
      </c>
      <c r="F44" s="72" t="s">
        <v>44</v>
      </c>
      <c r="G44" s="72">
        <v>0.8</v>
      </c>
      <c r="H44" s="72">
        <v>0.8</v>
      </c>
      <c r="I44" s="72" t="s">
        <v>45</v>
      </c>
      <c r="J44" s="72">
        <v>0</v>
      </c>
      <c r="K44" s="72">
        <v>167</v>
      </c>
      <c r="L44" s="72" t="s">
        <v>29</v>
      </c>
      <c r="M44" s="19"/>
      <c r="N44" s="19"/>
      <c r="O44" s="19"/>
      <c r="P44" s="19"/>
    </row>
    <row r="45" spans="1:17">
      <c r="A45" s="75" t="s">
        <v>46</v>
      </c>
      <c r="B45" s="71" t="s">
        <v>47</v>
      </c>
      <c r="C45" s="71">
        <v>6.4250000000000002E-3</v>
      </c>
      <c r="D45" s="78">
        <v>896</v>
      </c>
      <c r="E45" s="71">
        <v>0</v>
      </c>
      <c r="F45" s="71" t="s">
        <v>49</v>
      </c>
      <c r="G45" s="71">
        <v>0.8</v>
      </c>
      <c r="H45" s="71">
        <v>0.8</v>
      </c>
      <c r="I45" s="71" t="s">
        <v>50</v>
      </c>
      <c r="J45" s="71">
        <v>0</v>
      </c>
      <c r="K45" s="71">
        <v>167</v>
      </c>
      <c r="L45" s="71" t="s">
        <v>29</v>
      </c>
      <c r="M45" s="19"/>
      <c r="N45" s="19"/>
      <c r="O45" s="19"/>
      <c r="P45" s="19"/>
    </row>
    <row r="46" spans="1:17">
      <c r="A46" s="76" t="s">
        <v>51</v>
      </c>
      <c r="B46" s="72" t="s">
        <v>52</v>
      </c>
      <c r="C46" s="72">
        <v>6.2350000000000001E-3</v>
      </c>
      <c r="D46" s="78">
        <v>896</v>
      </c>
      <c r="E46" s="72">
        <v>0</v>
      </c>
      <c r="F46" s="72" t="s">
        <v>54</v>
      </c>
      <c r="G46" s="72">
        <v>0.8</v>
      </c>
      <c r="H46" s="72">
        <v>0.8</v>
      </c>
      <c r="I46" s="72" t="s">
        <v>55</v>
      </c>
      <c r="J46" s="72">
        <v>0</v>
      </c>
      <c r="K46" s="72">
        <v>167</v>
      </c>
      <c r="L46" s="72" t="s">
        <v>29</v>
      </c>
      <c r="M46" s="19"/>
      <c r="N46" s="19"/>
      <c r="O46" s="19"/>
      <c r="P46" s="19"/>
    </row>
    <row r="47" spans="1:17">
      <c r="A47" s="75" t="s">
        <v>56</v>
      </c>
      <c r="B47" s="71" t="s">
        <v>57</v>
      </c>
      <c r="C47" s="71">
        <v>2.1920000000000002E-2</v>
      </c>
      <c r="D47" s="78">
        <v>896</v>
      </c>
      <c r="E47" s="71">
        <v>9.5999999999999992E-3</v>
      </c>
      <c r="F47" s="71" t="s">
        <v>59</v>
      </c>
      <c r="G47" s="71">
        <v>0.8</v>
      </c>
      <c r="H47" s="71">
        <v>0.8</v>
      </c>
      <c r="I47" s="71" t="s">
        <v>60</v>
      </c>
      <c r="J47" s="71">
        <v>0</v>
      </c>
      <c r="K47" s="71">
        <v>167</v>
      </c>
      <c r="L47" s="71" t="s">
        <v>29</v>
      </c>
      <c r="M47" s="19"/>
      <c r="N47" s="19"/>
      <c r="O47" s="19"/>
      <c r="P47" s="19"/>
    </row>
    <row r="48" spans="1:17">
      <c r="A48" s="76" t="s">
        <v>61</v>
      </c>
      <c r="B48" s="72" t="s">
        <v>62</v>
      </c>
      <c r="C48" s="72">
        <v>1.8E-3</v>
      </c>
      <c r="D48" s="78">
        <v>1000</v>
      </c>
      <c r="E48" s="72">
        <v>5.7600000000000001E-4</v>
      </c>
      <c r="F48" s="72" t="s">
        <v>59</v>
      </c>
      <c r="G48" s="72">
        <v>0.8</v>
      </c>
      <c r="H48" s="72">
        <v>0.8</v>
      </c>
      <c r="I48" s="72" t="s">
        <v>65</v>
      </c>
      <c r="J48" s="72">
        <v>0</v>
      </c>
      <c r="K48" s="72">
        <v>0.188</v>
      </c>
      <c r="L48" s="72" t="s">
        <v>29</v>
      </c>
      <c r="M48" s="19"/>
      <c r="N48" s="19"/>
      <c r="O48" s="19"/>
      <c r="P48" s="19"/>
    </row>
    <row r="49" spans="1:16">
      <c r="A49" s="75" t="s">
        <v>67</v>
      </c>
      <c r="B49" s="71" t="s">
        <v>68</v>
      </c>
      <c r="C49" s="71">
        <v>1.8E-3</v>
      </c>
      <c r="D49" s="78">
        <v>1000</v>
      </c>
      <c r="E49" s="71">
        <v>5.7600000000000001E-4</v>
      </c>
      <c r="F49" s="71" t="s">
        <v>59</v>
      </c>
      <c r="G49" s="71">
        <v>0.8</v>
      </c>
      <c r="H49" s="71">
        <v>0.8</v>
      </c>
      <c r="I49" s="71" t="s">
        <v>65</v>
      </c>
      <c r="J49" s="71">
        <v>0</v>
      </c>
      <c r="K49" s="71">
        <v>0.188</v>
      </c>
      <c r="L49" s="71" t="s">
        <v>29</v>
      </c>
      <c r="M49" s="19"/>
      <c r="N49" s="19"/>
      <c r="O49" s="19"/>
      <c r="P49" s="19"/>
    </row>
    <row r="50" spans="1:16">
      <c r="A50" s="76" t="s">
        <v>69</v>
      </c>
      <c r="B50" s="72" t="s">
        <v>70</v>
      </c>
      <c r="C50" s="72">
        <v>1.8E-3</v>
      </c>
      <c r="D50" s="78">
        <v>1000</v>
      </c>
      <c r="E50" s="72">
        <v>5.7600000000000001E-4</v>
      </c>
      <c r="F50" s="72" t="s">
        <v>59</v>
      </c>
      <c r="G50" s="72">
        <v>0.8</v>
      </c>
      <c r="H50" s="72">
        <v>0.8</v>
      </c>
      <c r="I50" s="72" t="s">
        <v>65</v>
      </c>
      <c r="J50" s="72">
        <v>0</v>
      </c>
      <c r="K50" s="72">
        <v>0.188</v>
      </c>
      <c r="L50" s="72" t="s">
        <v>29</v>
      </c>
    </row>
    <row r="51" spans="1:16">
      <c r="A51" s="75" t="s">
        <v>71</v>
      </c>
      <c r="B51" s="71" t="s">
        <v>72</v>
      </c>
      <c r="C51" s="71">
        <v>1.8E-3</v>
      </c>
      <c r="D51" s="78">
        <v>1000</v>
      </c>
      <c r="E51" s="71">
        <v>5.7600000000000001E-4</v>
      </c>
      <c r="F51" s="71" t="s">
        <v>59</v>
      </c>
      <c r="G51" s="71">
        <v>0.8</v>
      </c>
      <c r="H51" s="71">
        <v>0.8</v>
      </c>
      <c r="I51" s="71" t="s">
        <v>65</v>
      </c>
      <c r="J51" s="71">
        <v>0</v>
      </c>
      <c r="K51" s="71">
        <v>0.188</v>
      </c>
      <c r="L51" s="71" t="s">
        <v>29</v>
      </c>
    </row>
    <row r="52" spans="1:16">
      <c r="A52" s="76" t="s">
        <v>73</v>
      </c>
      <c r="B52" s="72" t="s">
        <v>74</v>
      </c>
      <c r="C52" s="72">
        <v>2.375E-2</v>
      </c>
      <c r="D52" s="78">
        <v>1100</v>
      </c>
      <c r="E52" s="72">
        <v>0</v>
      </c>
      <c r="F52" s="72" t="s">
        <v>29</v>
      </c>
      <c r="G52" s="72" t="s">
        <v>29</v>
      </c>
      <c r="H52" s="72" t="s">
        <v>29</v>
      </c>
      <c r="I52" s="72" t="s">
        <v>77</v>
      </c>
      <c r="J52" s="72">
        <v>0</v>
      </c>
      <c r="K52" s="72">
        <v>0.28999999999999998</v>
      </c>
      <c r="L52" s="72" t="s">
        <v>29</v>
      </c>
    </row>
    <row r="53" spans="1:16">
      <c r="A53" s="75" t="s">
        <v>78</v>
      </c>
      <c r="B53" s="71" t="s">
        <v>79</v>
      </c>
      <c r="C53" s="71">
        <v>0.12590999999999999</v>
      </c>
      <c r="D53" s="78">
        <v>800</v>
      </c>
      <c r="E53" s="71">
        <v>0</v>
      </c>
      <c r="F53" s="71" t="s">
        <v>29</v>
      </c>
      <c r="G53" s="71" t="s">
        <v>29</v>
      </c>
      <c r="H53" s="71" t="s">
        <v>29</v>
      </c>
      <c r="I53" s="71" t="s">
        <v>82</v>
      </c>
      <c r="J53" s="71">
        <v>0</v>
      </c>
      <c r="K53" s="12" t="s">
        <v>29</v>
      </c>
      <c r="L53" s="71" t="s">
        <v>29</v>
      </c>
    </row>
    <row r="54" spans="1:16">
      <c r="A54" s="76" t="s">
        <v>83</v>
      </c>
      <c r="B54" s="72" t="s">
        <v>84</v>
      </c>
      <c r="C54" s="72">
        <v>3.9E-2</v>
      </c>
      <c r="D54" s="78">
        <v>932.5</v>
      </c>
      <c r="E54" s="72">
        <v>0</v>
      </c>
      <c r="F54" s="72" t="s">
        <v>29</v>
      </c>
      <c r="G54" s="72" t="s">
        <v>29</v>
      </c>
      <c r="H54" s="72" t="s">
        <v>29</v>
      </c>
      <c r="I54" s="72" t="s">
        <v>77</v>
      </c>
      <c r="J54" s="72">
        <v>0.5</v>
      </c>
      <c r="K54" s="72">
        <v>0.4</v>
      </c>
      <c r="L54" s="72" t="s">
        <v>29</v>
      </c>
    </row>
    <row r="55" spans="1:16">
      <c r="A55" s="75" t="s">
        <v>87</v>
      </c>
      <c r="B55" s="71" t="s">
        <v>88</v>
      </c>
      <c r="C55" s="71">
        <v>3.9E-2</v>
      </c>
      <c r="D55" s="78">
        <v>932.5</v>
      </c>
      <c r="E55" s="71">
        <v>0</v>
      </c>
      <c r="F55" s="71" t="s">
        <v>29</v>
      </c>
      <c r="G55" s="71" t="s">
        <v>29</v>
      </c>
      <c r="H55" s="71" t="s">
        <v>29</v>
      </c>
      <c r="I55" s="71" t="s">
        <v>77</v>
      </c>
      <c r="J55" s="71">
        <v>0.5</v>
      </c>
      <c r="K55" s="71">
        <v>0.4</v>
      </c>
      <c r="L55" s="71" t="s">
        <v>29</v>
      </c>
    </row>
    <row r="56" spans="1:16">
      <c r="A56" s="76" t="s">
        <v>89</v>
      </c>
      <c r="B56" s="72" t="s">
        <v>90</v>
      </c>
      <c r="C56" s="72">
        <v>3.9E-2</v>
      </c>
      <c r="D56" s="78">
        <v>932.5</v>
      </c>
      <c r="E56" s="72">
        <v>0</v>
      </c>
      <c r="F56" s="72" t="s">
        <v>29</v>
      </c>
      <c r="G56" s="72" t="s">
        <v>29</v>
      </c>
      <c r="H56" s="72" t="s">
        <v>29</v>
      </c>
      <c r="I56" s="72" t="s">
        <v>77</v>
      </c>
      <c r="J56" s="72">
        <v>0.5</v>
      </c>
      <c r="K56" s="72">
        <v>0.4</v>
      </c>
      <c r="L56" s="72" t="s">
        <v>29</v>
      </c>
    </row>
    <row r="57" spans="1:16">
      <c r="A57" s="75" t="s">
        <v>91</v>
      </c>
      <c r="B57" s="71" t="s">
        <v>92</v>
      </c>
      <c r="C57" s="71">
        <v>3.9E-2</v>
      </c>
      <c r="D57" s="78">
        <v>932.5</v>
      </c>
      <c r="E57" s="71">
        <v>0</v>
      </c>
      <c r="F57" s="71" t="s">
        <v>29</v>
      </c>
      <c r="G57" s="71" t="s">
        <v>29</v>
      </c>
      <c r="H57" s="71" t="s">
        <v>29</v>
      </c>
      <c r="I57" s="71" t="s">
        <v>77</v>
      </c>
      <c r="J57" s="71">
        <v>0.5</v>
      </c>
      <c r="K57" s="71">
        <v>0.4</v>
      </c>
      <c r="L57" s="71" t="s">
        <v>29</v>
      </c>
    </row>
    <row r="58" spans="1:16">
      <c r="A58" s="76" t="s">
        <v>93</v>
      </c>
      <c r="B58" s="72" t="s">
        <v>94</v>
      </c>
      <c r="C58" s="72">
        <v>0.05</v>
      </c>
      <c r="D58" s="78">
        <v>1000</v>
      </c>
      <c r="E58" s="72">
        <v>0</v>
      </c>
      <c r="F58" s="72" t="s">
        <v>29</v>
      </c>
      <c r="G58" s="72" t="s">
        <v>29</v>
      </c>
      <c r="H58" s="72" t="s">
        <v>29</v>
      </c>
      <c r="I58" s="72" t="s">
        <v>77</v>
      </c>
      <c r="J58" s="72">
        <v>0.1</v>
      </c>
      <c r="K58" s="72">
        <v>1.17</v>
      </c>
      <c r="L58" s="72" t="s">
        <v>29</v>
      </c>
    </row>
    <row r="59" spans="1:16">
      <c r="A59" s="75" t="s">
        <v>97</v>
      </c>
      <c r="B59" s="71" t="s">
        <v>98</v>
      </c>
      <c r="C59" s="71">
        <v>0.05</v>
      </c>
      <c r="D59" s="78">
        <v>1000</v>
      </c>
      <c r="E59" s="71">
        <v>0</v>
      </c>
      <c r="F59" s="71" t="s">
        <v>29</v>
      </c>
      <c r="G59" s="71" t="s">
        <v>29</v>
      </c>
      <c r="H59" s="71" t="s">
        <v>29</v>
      </c>
      <c r="I59" s="71" t="s">
        <v>77</v>
      </c>
      <c r="J59" s="71">
        <v>0</v>
      </c>
      <c r="K59" s="71">
        <v>1.17</v>
      </c>
      <c r="L59" s="71" t="s">
        <v>29</v>
      </c>
    </row>
    <row r="60" spans="1:16">
      <c r="A60" s="76" t="s">
        <v>99</v>
      </c>
      <c r="B60" s="72" t="s">
        <v>100</v>
      </c>
      <c r="C60" s="72">
        <v>3.8490000000000003E-2</v>
      </c>
      <c r="D60" s="78">
        <v>1100</v>
      </c>
      <c r="E60" s="72">
        <v>0</v>
      </c>
      <c r="F60" s="72" t="s">
        <v>29</v>
      </c>
      <c r="G60" s="72" t="s">
        <v>29</v>
      </c>
      <c r="H60" s="72" t="s">
        <v>29</v>
      </c>
      <c r="I60" s="72" t="s">
        <v>102</v>
      </c>
      <c r="J60" s="72">
        <v>0.5</v>
      </c>
      <c r="K60" s="72">
        <v>0.28999999999999998</v>
      </c>
      <c r="L60" s="72" t="s">
        <v>29</v>
      </c>
    </row>
    <row r="61" spans="1:16">
      <c r="A61" s="75" t="s">
        <v>103</v>
      </c>
      <c r="B61" s="71" t="s">
        <v>104</v>
      </c>
      <c r="C61" s="71">
        <v>7.4999999999999997E-2</v>
      </c>
      <c r="D61" s="78">
        <v>1100</v>
      </c>
      <c r="E61" s="71">
        <v>0</v>
      </c>
      <c r="F61" s="71" t="s">
        <v>29</v>
      </c>
      <c r="G61" s="71" t="s">
        <v>29</v>
      </c>
      <c r="H61" s="71" t="s">
        <v>29</v>
      </c>
      <c r="I61" s="71" t="s">
        <v>106</v>
      </c>
      <c r="J61" s="71">
        <v>0.5</v>
      </c>
      <c r="K61" s="71">
        <v>0.28999999999999998</v>
      </c>
      <c r="L61" s="71" t="s">
        <v>29</v>
      </c>
    </row>
    <row r="62" spans="1:16">
      <c r="A62" s="76" t="s">
        <v>107</v>
      </c>
      <c r="B62" s="72" t="s">
        <v>108</v>
      </c>
      <c r="C62" s="72">
        <v>8.5000000000000006E-2</v>
      </c>
      <c r="D62" s="78">
        <v>857.4</v>
      </c>
      <c r="E62" s="72">
        <v>0</v>
      </c>
      <c r="F62" s="72" t="s">
        <v>29</v>
      </c>
      <c r="G62" s="72" t="s">
        <v>29</v>
      </c>
      <c r="H62" s="72" t="s">
        <v>29</v>
      </c>
      <c r="I62" s="72" t="s">
        <v>111</v>
      </c>
      <c r="J62" s="72">
        <v>2</v>
      </c>
      <c r="K62" s="72">
        <v>167</v>
      </c>
      <c r="L62" s="72">
        <v>0.7</v>
      </c>
    </row>
    <row r="63" spans="1:16">
      <c r="A63" s="75" t="s">
        <v>112</v>
      </c>
      <c r="B63" s="71" t="s">
        <v>113</v>
      </c>
      <c r="C63" s="71">
        <v>2.4E-2</v>
      </c>
      <c r="D63" s="78">
        <v>1100</v>
      </c>
      <c r="E63" s="71">
        <v>0</v>
      </c>
      <c r="F63" s="71" t="s">
        <v>29</v>
      </c>
      <c r="G63" s="71" t="s">
        <v>29</v>
      </c>
      <c r="H63" s="71" t="s">
        <v>29</v>
      </c>
      <c r="I63" s="71" t="s">
        <v>115</v>
      </c>
      <c r="J63" s="77">
        <v>1.5</v>
      </c>
      <c r="K63" s="71">
        <v>0.28999999999999998</v>
      </c>
      <c r="L63" s="71" t="s">
        <v>29</v>
      </c>
    </row>
    <row r="64" spans="1:16">
      <c r="A64" s="76" t="s">
        <v>116</v>
      </c>
      <c r="B64" s="72" t="s">
        <v>117</v>
      </c>
      <c r="C64" s="72">
        <v>5.2999999999999999E-2</v>
      </c>
      <c r="D64" s="78">
        <v>703</v>
      </c>
      <c r="E64" s="72">
        <v>8.0940000000000005E-3</v>
      </c>
      <c r="F64" s="72" t="s">
        <v>120</v>
      </c>
      <c r="G64" s="72">
        <v>0.8</v>
      </c>
      <c r="H64" s="72">
        <v>0.8</v>
      </c>
      <c r="I64" s="72" t="s">
        <v>121</v>
      </c>
      <c r="J64" s="72">
        <v>2.4</v>
      </c>
      <c r="K64" s="72">
        <v>0.35</v>
      </c>
      <c r="L64" s="72">
        <v>2.2000000000000001E-3</v>
      </c>
    </row>
    <row r="65" spans="1:12">
      <c r="A65" s="75" t="s">
        <v>122</v>
      </c>
      <c r="B65" s="71" t="s">
        <v>123</v>
      </c>
      <c r="C65" s="71">
        <v>4.3999999999999997E-2</v>
      </c>
      <c r="D65" s="78">
        <v>703</v>
      </c>
      <c r="E65" s="71">
        <v>8.0940000000000005E-3</v>
      </c>
      <c r="F65" s="71" t="s">
        <v>125</v>
      </c>
      <c r="G65" s="71">
        <v>0.8</v>
      </c>
      <c r="H65" s="71">
        <v>0.8</v>
      </c>
      <c r="I65" s="71" t="s">
        <v>126</v>
      </c>
      <c r="J65" s="71">
        <v>2.4</v>
      </c>
      <c r="K65" s="71">
        <v>0.35</v>
      </c>
      <c r="L65" s="71">
        <v>2.2000000000000001E-3</v>
      </c>
    </row>
    <row r="66" spans="1:12">
      <c r="A66" s="76" t="s">
        <v>127</v>
      </c>
      <c r="B66" s="73" t="s">
        <v>128</v>
      </c>
      <c r="C66" s="72">
        <v>4.4999999999999998E-2</v>
      </c>
      <c r="D66" s="78">
        <v>703</v>
      </c>
      <c r="E66" s="72">
        <v>8.0940000000000005E-3</v>
      </c>
      <c r="F66" s="72" t="s">
        <v>30</v>
      </c>
      <c r="G66" s="72">
        <v>0.8</v>
      </c>
      <c r="H66" s="72">
        <v>0.8</v>
      </c>
      <c r="I66" s="72" t="s">
        <v>130</v>
      </c>
      <c r="J66" s="72">
        <v>2.4</v>
      </c>
      <c r="K66" s="72">
        <v>0.35</v>
      </c>
      <c r="L66" s="72">
        <v>2.2000000000000001E-3</v>
      </c>
    </row>
    <row r="67" spans="1:12">
      <c r="A67" s="75" t="s">
        <v>131</v>
      </c>
      <c r="B67" s="74" t="s">
        <v>132</v>
      </c>
      <c r="C67" s="71">
        <v>5.2999999999999999E-2</v>
      </c>
      <c r="D67" s="78">
        <v>703</v>
      </c>
      <c r="E67" s="71">
        <v>8.0940000000000005E-3</v>
      </c>
      <c r="F67" s="71" t="s">
        <v>34</v>
      </c>
      <c r="G67" s="71">
        <v>0.8</v>
      </c>
      <c r="H67" s="71">
        <v>0.8</v>
      </c>
      <c r="I67" s="71" t="s">
        <v>133</v>
      </c>
      <c r="J67" s="71">
        <v>2.4</v>
      </c>
      <c r="K67" s="71">
        <v>0.35</v>
      </c>
      <c r="L67" s="71">
        <v>2.2000000000000001E-3</v>
      </c>
    </row>
    <row r="68" spans="1:12">
      <c r="A68" s="76" t="s">
        <v>134</v>
      </c>
      <c r="B68" s="72" t="s">
        <v>135</v>
      </c>
      <c r="C68" s="72">
        <v>5.7500000000000002E-2</v>
      </c>
      <c r="D68" s="78">
        <v>703</v>
      </c>
      <c r="E68" s="72">
        <v>8.4469999999999996E-3</v>
      </c>
      <c r="F68" s="72" t="s">
        <v>137</v>
      </c>
      <c r="G68" s="72">
        <v>0.8</v>
      </c>
      <c r="H68" s="72">
        <v>0.8</v>
      </c>
      <c r="I68" s="72" t="s">
        <v>138</v>
      </c>
      <c r="J68" s="72">
        <v>2.4</v>
      </c>
      <c r="K68" s="72">
        <v>0.35</v>
      </c>
      <c r="L68" s="72">
        <v>2.2000000000000001E-3</v>
      </c>
    </row>
    <row r="69" spans="1:12">
      <c r="A69" s="75" t="s">
        <v>139</v>
      </c>
      <c r="B69" s="71" t="s">
        <v>140</v>
      </c>
      <c r="C69" s="71">
        <v>0.04</v>
      </c>
      <c r="D69" s="79">
        <v>1100</v>
      </c>
      <c r="E69" s="71">
        <v>0</v>
      </c>
      <c r="F69" s="71" t="s">
        <v>29</v>
      </c>
      <c r="G69" s="71" t="s">
        <v>29</v>
      </c>
      <c r="H69" s="71" t="s">
        <v>29</v>
      </c>
      <c r="I69" s="71" t="s">
        <v>142</v>
      </c>
      <c r="J69" s="71"/>
      <c r="K69" s="71">
        <v>0.28999999999999998</v>
      </c>
      <c r="L69" s="71"/>
    </row>
    <row r="70" spans="1:12">
      <c r="C70" s="1"/>
      <c r="E70" s="1"/>
    </row>
    <row r="71" spans="1:12">
      <c r="C71" s="1"/>
      <c r="E71" s="1"/>
    </row>
    <row r="72" spans="1:12">
      <c r="C72" s="1"/>
      <c r="E72" s="1"/>
    </row>
    <row r="73" spans="1:12">
      <c r="C73" s="1"/>
      <c r="E73" s="1"/>
    </row>
    <row r="74" spans="1:12">
      <c r="C74" s="1"/>
      <c r="E74" s="1"/>
    </row>
    <row r="75" spans="1:12">
      <c r="C75" s="1"/>
      <c r="E75" s="1"/>
    </row>
    <row r="76" spans="1:12">
      <c r="C76" s="1"/>
      <c r="E76" s="1"/>
    </row>
    <row r="77" spans="1:12">
      <c r="C77" s="1"/>
      <c r="E77" s="1"/>
    </row>
    <row r="78" spans="1:12">
      <c r="C78" s="1"/>
      <c r="E78" s="1"/>
    </row>
    <row r="79" spans="1:12">
      <c r="C79" s="1"/>
      <c r="E79" s="1"/>
    </row>
    <row r="80" spans="1:12">
      <c r="C80" s="1"/>
      <c r="E80" s="1"/>
    </row>
    <row r="81" spans="3:5">
      <c r="C81" s="1"/>
      <c r="E81" s="1"/>
    </row>
    <row r="82" spans="3:5">
      <c r="C82" s="1"/>
      <c r="E82" s="1"/>
    </row>
    <row r="83" spans="3:5">
      <c r="C83" s="1"/>
      <c r="E83" s="1"/>
    </row>
    <row r="84" spans="3:5">
      <c r="C84" s="1"/>
      <c r="E84" s="1"/>
    </row>
    <row r="85" spans="3:5">
      <c r="C85" s="1"/>
      <c r="E85" s="1"/>
    </row>
    <row r="86" spans="3:5">
      <c r="C86" s="1"/>
      <c r="E86" s="1"/>
    </row>
    <row r="87" spans="3:5">
      <c r="C87" s="1"/>
      <c r="E87" s="1"/>
    </row>
    <row r="88" spans="3:5">
      <c r="C88" s="1"/>
      <c r="E88" s="1"/>
    </row>
    <row r="89" spans="3:5">
      <c r="C89" s="1"/>
      <c r="E89" s="1"/>
    </row>
    <row r="90" spans="3:5">
      <c r="C90" s="1"/>
      <c r="E90" s="1"/>
    </row>
    <row r="91" spans="3:5">
      <c r="C91" s="1"/>
      <c r="E91" s="1"/>
    </row>
    <row r="92" spans="3:5">
      <c r="C92" s="1"/>
      <c r="E92" s="1"/>
    </row>
    <row r="93" spans="3:5">
      <c r="C93" s="1"/>
      <c r="E93" s="1"/>
    </row>
    <row r="94" spans="3:5">
      <c r="C94" s="1"/>
      <c r="E94" s="1"/>
    </row>
    <row r="95" spans="3:5">
      <c r="C95" s="1"/>
      <c r="E95" s="1"/>
    </row>
    <row r="96" spans="3:5">
      <c r="C96" s="1"/>
      <c r="E96" s="1"/>
    </row>
    <row r="97" spans="3:5">
      <c r="C97" s="1"/>
      <c r="E97" s="1"/>
    </row>
    <row r="98" spans="3:5">
      <c r="C98" s="1"/>
      <c r="E98" s="1"/>
    </row>
    <row r="99" spans="3:5">
      <c r="C99" s="1"/>
      <c r="E99" s="1"/>
    </row>
    <row r="100" spans="3:5">
      <c r="C100" s="1"/>
      <c r="E100" s="1"/>
    </row>
    <row r="101" spans="3:5">
      <c r="C101" s="1"/>
      <c r="E101" s="1"/>
    </row>
    <row r="102" spans="3:5">
      <c r="C102" s="1"/>
      <c r="E102" s="1"/>
    </row>
    <row r="103" spans="3:5">
      <c r="C103" s="1"/>
      <c r="E103" s="1"/>
    </row>
    <row r="104" spans="3:5">
      <c r="C104" s="1"/>
      <c r="E104" s="1"/>
    </row>
    <row r="105" spans="3:5">
      <c r="C105" s="1"/>
      <c r="E105" s="1"/>
    </row>
    <row r="106" spans="3:5">
      <c r="C106" s="1"/>
      <c r="E106" s="1"/>
    </row>
    <row r="107" spans="3:5">
      <c r="C107" s="1"/>
      <c r="E107" s="1"/>
    </row>
    <row r="108" spans="3:5">
      <c r="C108" s="1"/>
      <c r="E108" s="1"/>
    </row>
    <row r="109" spans="3:5">
      <c r="C109" s="1"/>
      <c r="E109" s="1"/>
    </row>
    <row r="110" spans="3:5">
      <c r="C110" s="1"/>
      <c r="E110" s="1"/>
    </row>
    <row r="111" spans="3:5">
      <c r="C111" s="1"/>
      <c r="E111" s="1"/>
    </row>
    <row r="112" spans="3:5">
      <c r="C112" s="1"/>
      <c r="E112" s="1"/>
    </row>
    <row r="113" spans="3:5">
      <c r="C113" s="1"/>
      <c r="E113" s="1"/>
    </row>
    <row r="114" spans="3:5">
      <c r="C114" s="1"/>
      <c r="E114" s="1"/>
    </row>
    <row r="115" spans="3:5">
      <c r="C115" s="1"/>
      <c r="E115" s="1"/>
    </row>
    <row r="116" spans="3:5">
      <c r="C116" s="1"/>
      <c r="E116" s="1"/>
    </row>
    <row r="117" spans="3:5">
      <c r="C117" s="1"/>
      <c r="E117" s="1"/>
    </row>
    <row r="118" spans="3:5">
      <c r="C118" s="1"/>
      <c r="E118" s="1"/>
    </row>
    <row r="119" spans="3:5">
      <c r="C119" s="1"/>
      <c r="E119" s="1"/>
    </row>
    <row r="120" spans="3:5">
      <c r="C120" s="1"/>
      <c r="E120" s="1"/>
    </row>
    <row r="121" spans="3:5">
      <c r="C121" s="1"/>
      <c r="E121" s="1"/>
    </row>
    <row r="122" spans="3:5">
      <c r="C122" s="1"/>
      <c r="E122" s="1"/>
    </row>
    <row r="123" spans="3:5">
      <c r="C123" s="1"/>
      <c r="E123" s="1"/>
    </row>
    <row r="124" spans="3:5">
      <c r="C124" s="1"/>
      <c r="E124" s="1"/>
    </row>
    <row r="125" spans="3:5">
      <c r="C125" s="1"/>
      <c r="E125" s="1"/>
    </row>
    <row r="126" spans="3:5">
      <c r="C126" s="1"/>
      <c r="E126" s="1"/>
    </row>
    <row r="127" spans="3:5">
      <c r="C127" s="1"/>
      <c r="E127" s="1"/>
    </row>
    <row r="128" spans="3:5">
      <c r="C128" s="1"/>
      <c r="E128" s="1"/>
    </row>
    <row r="129" spans="3:5">
      <c r="C129" s="1"/>
      <c r="E129" s="1"/>
    </row>
    <row r="130" spans="3:5">
      <c r="C130" s="1"/>
      <c r="E130" s="1"/>
    </row>
    <row r="131" spans="3:5">
      <c r="C131" s="1"/>
      <c r="E131" s="1"/>
    </row>
    <row r="132" spans="3:5">
      <c r="C132" s="1"/>
      <c r="E132" s="1"/>
    </row>
    <row r="133" spans="3:5">
      <c r="C133" s="1"/>
      <c r="E133" s="1"/>
    </row>
    <row r="134" spans="3:5">
      <c r="C134" s="1"/>
      <c r="E134" s="1"/>
    </row>
    <row r="135" spans="3:5">
      <c r="C135" s="1"/>
      <c r="E135" s="1"/>
    </row>
    <row r="136" spans="3:5">
      <c r="C136" s="1"/>
      <c r="E136" s="1"/>
    </row>
    <row r="137" spans="3:5">
      <c r="C137" s="1"/>
      <c r="E137" s="1"/>
    </row>
    <row r="138" spans="3:5">
      <c r="C138" s="1"/>
      <c r="E138" s="1"/>
    </row>
    <row r="139" spans="3:5">
      <c r="C139" s="1"/>
      <c r="E139" s="1"/>
    </row>
    <row r="140" spans="3:5">
      <c r="C140" s="1"/>
      <c r="E140" s="1"/>
    </row>
    <row r="141" spans="3:5">
      <c r="C141" s="1"/>
      <c r="E141" s="1"/>
    </row>
    <row r="142" spans="3:5">
      <c r="C142" s="1"/>
      <c r="E142" s="1"/>
    </row>
    <row r="143" spans="3:5">
      <c r="C143" s="1"/>
      <c r="E143" s="1"/>
    </row>
    <row r="144" spans="3:5">
      <c r="C144" s="1"/>
      <c r="E144" s="1"/>
    </row>
    <row r="145" spans="3:5">
      <c r="C145" s="1"/>
      <c r="E145" s="1"/>
    </row>
    <row r="146" spans="3:5">
      <c r="C146" s="1"/>
      <c r="E146" s="1"/>
    </row>
    <row r="147" spans="3:5">
      <c r="C147" s="1"/>
      <c r="E147" s="1"/>
    </row>
    <row r="148" spans="3:5">
      <c r="C148" s="1"/>
      <c r="E148" s="1"/>
    </row>
    <row r="149" spans="3:5">
      <c r="C149" s="1"/>
      <c r="E149" s="1"/>
    </row>
    <row r="150" spans="3:5">
      <c r="C150" s="1"/>
      <c r="E150" s="1"/>
    </row>
    <row r="151" spans="3:5">
      <c r="C151" s="1"/>
      <c r="E151" s="1"/>
    </row>
    <row r="152" spans="3:5">
      <c r="C152" s="1"/>
      <c r="E152" s="1"/>
    </row>
    <row r="153" spans="3:5">
      <c r="C153" s="1"/>
      <c r="E153" s="1"/>
    </row>
    <row r="154" spans="3:5">
      <c r="C154" s="1"/>
      <c r="E154" s="1"/>
    </row>
    <row r="155" spans="3:5">
      <c r="C155" s="1"/>
      <c r="E155" s="1"/>
    </row>
    <row r="156" spans="3:5">
      <c r="C156" s="1"/>
      <c r="E156" s="1"/>
    </row>
    <row r="157" spans="3:5">
      <c r="C157" s="1"/>
      <c r="E157" s="1"/>
    </row>
    <row r="158" spans="3:5">
      <c r="C158" s="1"/>
      <c r="E158" s="1"/>
    </row>
    <row r="159" spans="3:5">
      <c r="C159" s="1"/>
      <c r="E159" s="1"/>
    </row>
    <row r="160" spans="3:5">
      <c r="C160" s="1"/>
      <c r="E160" s="1"/>
    </row>
    <row r="161" spans="3:5">
      <c r="C161" s="1"/>
      <c r="E161" s="1"/>
    </row>
    <row r="162" spans="3:5">
      <c r="C162" s="1"/>
      <c r="E162" s="1"/>
    </row>
    <row r="163" spans="3:5">
      <c r="C163" s="1"/>
      <c r="E163" s="1"/>
    </row>
    <row r="164" spans="3:5">
      <c r="C164" s="1"/>
      <c r="E164" s="1"/>
    </row>
    <row r="165" spans="3:5">
      <c r="C165" s="1"/>
      <c r="E165" s="1"/>
    </row>
    <row r="166" spans="3:5">
      <c r="C166" s="1"/>
      <c r="E166" s="1"/>
    </row>
    <row r="167" spans="3:5">
      <c r="C167" s="1"/>
      <c r="E167" s="1"/>
    </row>
    <row r="168" spans="3:5">
      <c r="C168" s="1"/>
      <c r="E168" s="1"/>
    </row>
    <row r="169" spans="3:5">
      <c r="C169" s="1"/>
      <c r="E169" s="1"/>
    </row>
    <row r="170" spans="3:5">
      <c r="C170" s="1"/>
      <c r="E170" s="1"/>
    </row>
    <row r="171" spans="3:5">
      <c r="C171" s="1"/>
      <c r="E171" s="1"/>
    </row>
    <row r="172" spans="3:5">
      <c r="C172" s="1"/>
      <c r="E172" s="1"/>
    </row>
    <row r="173" spans="3:5">
      <c r="C173" s="1"/>
      <c r="E173" s="1"/>
    </row>
    <row r="174" spans="3:5">
      <c r="C174" s="1"/>
      <c r="E174" s="1"/>
    </row>
    <row r="175" spans="3:5">
      <c r="C175" s="1"/>
      <c r="E175" s="1"/>
    </row>
    <row r="176" spans="3:5">
      <c r="C176" s="1"/>
      <c r="E176" s="1"/>
    </row>
    <row r="177" spans="3:5">
      <c r="C177" s="1"/>
      <c r="E177" s="1"/>
    </row>
    <row r="178" spans="3:5">
      <c r="C178" s="1"/>
      <c r="E178" s="1"/>
    </row>
    <row r="179" spans="3:5">
      <c r="C179" s="1"/>
      <c r="E179" s="1"/>
    </row>
    <row r="180" spans="3:5">
      <c r="C180" s="1"/>
      <c r="E180" s="1"/>
    </row>
    <row r="181" spans="3:5">
      <c r="C181" s="1"/>
      <c r="E181" s="1"/>
    </row>
    <row r="182" spans="3:5">
      <c r="C182" s="1"/>
      <c r="E182" s="1"/>
    </row>
    <row r="183" spans="3:5">
      <c r="C183" s="1"/>
      <c r="E183" s="1"/>
    </row>
    <row r="184" spans="3:5">
      <c r="C184" s="1"/>
      <c r="E184" s="1"/>
    </row>
    <row r="185" spans="3:5">
      <c r="C185" s="1"/>
      <c r="E185" s="1"/>
    </row>
    <row r="186" spans="3:5">
      <c r="C186" s="1"/>
      <c r="E186" s="1"/>
    </row>
    <row r="187" spans="3:5">
      <c r="C187" s="1"/>
      <c r="E187" s="1"/>
    </row>
    <row r="188" spans="3:5">
      <c r="C188" s="1"/>
      <c r="E188" s="1"/>
    </row>
    <row r="189" spans="3:5">
      <c r="C189" s="1"/>
      <c r="E189" s="1"/>
    </row>
    <row r="190" spans="3:5">
      <c r="C190" s="1"/>
      <c r="E190" s="1"/>
    </row>
    <row r="191" spans="3:5">
      <c r="C191" s="1"/>
      <c r="E191" s="1"/>
    </row>
    <row r="192" spans="3:5">
      <c r="C192" s="1"/>
      <c r="E192" s="1"/>
    </row>
    <row r="193" spans="3:5">
      <c r="C193" s="1"/>
      <c r="E193" s="1"/>
    </row>
    <row r="194" spans="3:5">
      <c r="C194" s="1"/>
      <c r="E194" s="1"/>
    </row>
    <row r="195" spans="3:5">
      <c r="C195" s="1"/>
      <c r="E195" s="1"/>
    </row>
    <row r="196" spans="3:5">
      <c r="C196" s="1"/>
      <c r="E196" s="1"/>
    </row>
    <row r="197" spans="3:5">
      <c r="C197" s="1"/>
      <c r="E197" s="1"/>
    </row>
    <row r="198" spans="3:5">
      <c r="C198" s="1"/>
      <c r="E198" s="1"/>
    </row>
    <row r="199" spans="3:5">
      <c r="C199" s="1"/>
      <c r="E199" s="1"/>
    </row>
    <row r="200" spans="3:5">
      <c r="C200" s="1"/>
      <c r="E200" s="1"/>
    </row>
    <row r="201" spans="3:5">
      <c r="C201" s="1"/>
      <c r="E201" s="1"/>
    </row>
    <row r="202" spans="3:5">
      <c r="C202" s="1"/>
      <c r="E202" s="1"/>
    </row>
    <row r="203" spans="3:5">
      <c r="C203" s="1"/>
      <c r="E203" s="1"/>
    </row>
    <row r="204" spans="3:5">
      <c r="C204" s="1"/>
      <c r="E204" s="1"/>
    </row>
    <row r="205" spans="3:5">
      <c r="C205" s="1"/>
      <c r="E205" s="1"/>
    </row>
    <row r="206" spans="3:5">
      <c r="C206" s="1"/>
      <c r="E206" s="1"/>
    </row>
    <row r="207" spans="3:5">
      <c r="C207" s="1"/>
      <c r="E207" s="1"/>
    </row>
    <row r="208" spans="3:5">
      <c r="C208" s="1"/>
      <c r="E208" s="1"/>
    </row>
    <row r="209" spans="3:5">
      <c r="C209" s="1"/>
      <c r="E209" s="1"/>
    </row>
    <row r="210" spans="3:5">
      <c r="C210" s="1"/>
      <c r="E210" s="1"/>
    </row>
    <row r="211" spans="3:5">
      <c r="C211" s="1"/>
      <c r="E211" s="1"/>
    </row>
    <row r="212" spans="3:5">
      <c r="C212" s="1"/>
      <c r="E212" s="1"/>
    </row>
    <row r="213" spans="3:5">
      <c r="C213" s="1"/>
      <c r="E213" s="1"/>
    </row>
    <row r="214" spans="3:5">
      <c r="C214" s="1"/>
      <c r="E214" s="1"/>
    </row>
    <row r="215" spans="3:5">
      <c r="C215" s="1"/>
      <c r="E215" s="1"/>
    </row>
    <row r="216" spans="3:5">
      <c r="C216" s="1"/>
      <c r="E216" s="1"/>
    </row>
    <row r="217" spans="3:5">
      <c r="C217" s="1"/>
      <c r="E217" s="1"/>
    </row>
    <row r="218" spans="3:5">
      <c r="C218" s="1"/>
      <c r="E218" s="1"/>
    </row>
    <row r="219" spans="3:5">
      <c r="C219" s="1"/>
      <c r="E219" s="1"/>
    </row>
    <row r="220" spans="3:5">
      <c r="C220" s="1"/>
      <c r="E220" s="1"/>
    </row>
    <row r="221" spans="3:5">
      <c r="C221" s="1"/>
      <c r="E221" s="1"/>
    </row>
    <row r="222" spans="3:5">
      <c r="C222" s="1"/>
      <c r="E222" s="1"/>
    </row>
    <row r="223" spans="3:5">
      <c r="C223" s="1"/>
      <c r="E223" s="1"/>
    </row>
    <row r="224" spans="3:5">
      <c r="C224" s="1"/>
      <c r="E224" s="1"/>
    </row>
    <row r="225" spans="3:5">
      <c r="C225" s="1"/>
      <c r="E225" s="1"/>
    </row>
    <row r="226" spans="3:5">
      <c r="C226" s="1"/>
      <c r="E226" s="1"/>
    </row>
    <row r="227" spans="3:5">
      <c r="C227" s="1"/>
      <c r="E227" s="1"/>
    </row>
    <row r="228" spans="3:5">
      <c r="C228" s="1"/>
      <c r="E228" s="1"/>
    </row>
    <row r="229" spans="3:5">
      <c r="C229" s="1"/>
      <c r="E229" s="1"/>
    </row>
    <row r="230" spans="3:5">
      <c r="C230" s="1"/>
      <c r="E230" s="1"/>
    </row>
    <row r="231" spans="3:5">
      <c r="C231" s="1"/>
      <c r="E231" s="1"/>
    </row>
    <row r="232" spans="3:5">
      <c r="C232" s="1"/>
      <c r="E232" s="1"/>
    </row>
    <row r="233" spans="3:5">
      <c r="C233" s="1"/>
      <c r="E233" s="1"/>
    </row>
    <row r="234" spans="3:5">
      <c r="C234" s="1"/>
      <c r="E234" s="1"/>
    </row>
    <row r="235" spans="3:5">
      <c r="C235" s="1"/>
      <c r="E235" s="1"/>
    </row>
    <row r="236" spans="3:5">
      <c r="C236" s="1"/>
      <c r="E236" s="1"/>
    </row>
    <row r="237" spans="3:5">
      <c r="C237" s="1"/>
      <c r="E237" s="1"/>
    </row>
    <row r="238" spans="3:5">
      <c r="C238" s="1"/>
      <c r="E238" s="1"/>
    </row>
    <row r="239" spans="3:5">
      <c r="C239" s="1"/>
      <c r="E239" s="1"/>
    </row>
    <row r="240" spans="3:5">
      <c r="C240" s="1"/>
      <c r="E240" s="1"/>
    </row>
    <row r="241" spans="3:5">
      <c r="C241" s="1"/>
      <c r="E241" s="1"/>
    </row>
    <row r="242" spans="3:5">
      <c r="C242" s="1"/>
      <c r="E242" s="1"/>
    </row>
    <row r="243" spans="3:5">
      <c r="C243" s="1"/>
      <c r="E243" s="1"/>
    </row>
    <row r="244" spans="3:5">
      <c r="C244" s="1"/>
      <c r="E244" s="1"/>
    </row>
    <row r="245" spans="3:5">
      <c r="C245" s="1"/>
      <c r="E245" s="1"/>
    </row>
    <row r="246" spans="3:5">
      <c r="C246" s="1"/>
      <c r="E246" s="1"/>
    </row>
    <row r="247" spans="3:5">
      <c r="C247" s="1"/>
      <c r="E247" s="1"/>
    </row>
    <row r="248" spans="3:5">
      <c r="C248" s="1"/>
      <c r="E248" s="1"/>
    </row>
    <row r="249" spans="3:5">
      <c r="C249" s="1"/>
      <c r="E249" s="1"/>
    </row>
    <row r="250" spans="3:5">
      <c r="C250" s="1"/>
      <c r="E250" s="1"/>
    </row>
    <row r="251" spans="3:5">
      <c r="C251" s="1"/>
      <c r="E251" s="1"/>
    </row>
    <row r="252" spans="3:5">
      <c r="C252" s="1"/>
      <c r="E252" s="1"/>
    </row>
    <row r="253" spans="3:5">
      <c r="C253" s="1"/>
      <c r="E253" s="1"/>
    </row>
    <row r="254" spans="3:5">
      <c r="C254" s="1"/>
      <c r="E254" s="1"/>
    </row>
    <row r="255" spans="3:5">
      <c r="C255" s="1"/>
      <c r="E255" s="1"/>
    </row>
    <row r="256" spans="3:5">
      <c r="C256" s="1"/>
      <c r="E256" s="1"/>
    </row>
    <row r="257" spans="3:5">
      <c r="C257" s="1"/>
      <c r="E257" s="1"/>
    </row>
    <row r="258" spans="3:5">
      <c r="C258" s="1"/>
      <c r="E258" s="1"/>
    </row>
    <row r="259" spans="3:5">
      <c r="C259" s="1"/>
      <c r="E259" s="1"/>
    </row>
    <row r="260" spans="3:5">
      <c r="C260" s="1"/>
      <c r="E260" s="1"/>
    </row>
    <row r="261" spans="3:5">
      <c r="C261" s="1"/>
      <c r="E261" s="1"/>
    </row>
    <row r="262" spans="3:5">
      <c r="C262" s="1"/>
      <c r="E262" s="1"/>
    </row>
    <row r="263" spans="3:5">
      <c r="C263" s="1"/>
      <c r="E263" s="1"/>
    </row>
    <row r="264" spans="3:5">
      <c r="C264" s="1"/>
      <c r="E264" s="1"/>
    </row>
    <row r="265" spans="3:5">
      <c r="C265" s="1"/>
      <c r="E265" s="1"/>
    </row>
    <row r="266" spans="3:5">
      <c r="C266" s="1"/>
      <c r="E266" s="1"/>
    </row>
    <row r="267" spans="3:5">
      <c r="C267" s="1"/>
      <c r="E267" s="1"/>
    </row>
    <row r="268" spans="3:5">
      <c r="C268" s="1"/>
      <c r="E268" s="1"/>
    </row>
    <row r="269" spans="3:5">
      <c r="C269" s="1"/>
      <c r="E269" s="1"/>
    </row>
    <row r="270" spans="3:5">
      <c r="C270" s="1"/>
      <c r="E270" s="1"/>
    </row>
    <row r="271" spans="3:5">
      <c r="C271" s="1"/>
      <c r="E271" s="1"/>
    </row>
    <row r="272" spans="3:5">
      <c r="C272" s="1"/>
      <c r="E272" s="1"/>
    </row>
    <row r="273" spans="3:5">
      <c r="C273" s="1"/>
      <c r="E273" s="1"/>
    </row>
    <row r="274" spans="3:5">
      <c r="C274" s="1"/>
      <c r="E274" s="1"/>
    </row>
    <row r="275" spans="3:5">
      <c r="C275" s="1"/>
      <c r="E275" s="1"/>
    </row>
    <row r="276" spans="3:5">
      <c r="C276" s="1"/>
      <c r="E276" s="1"/>
    </row>
    <row r="277" spans="3:5">
      <c r="C277" s="1"/>
      <c r="E277" s="1"/>
    </row>
    <row r="278" spans="3:5">
      <c r="C278" s="1"/>
      <c r="E278" s="1"/>
    </row>
    <row r="279" spans="3:5">
      <c r="C279" s="1"/>
      <c r="E279" s="1"/>
    </row>
    <row r="280" spans="3:5">
      <c r="C280" s="1"/>
      <c r="E280" s="1"/>
    </row>
    <row r="281" spans="3:5">
      <c r="C281" s="1"/>
      <c r="E281" s="1"/>
    </row>
    <row r="282" spans="3:5">
      <c r="C282" s="1"/>
      <c r="E282" s="1"/>
    </row>
    <row r="283" spans="3:5">
      <c r="C283" s="1"/>
      <c r="E283" s="1"/>
    </row>
    <row r="284" spans="3:5">
      <c r="C284" s="1"/>
      <c r="E284" s="1"/>
    </row>
    <row r="285" spans="3:5">
      <c r="C285" s="1"/>
      <c r="E285" s="1"/>
    </row>
    <row r="286" spans="3:5">
      <c r="C286" s="1"/>
      <c r="E286" s="1"/>
    </row>
    <row r="287" spans="3:5">
      <c r="C287" s="1"/>
      <c r="E287" s="1"/>
    </row>
    <row r="288" spans="3:5">
      <c r="C288" s="1"/>
      <c r="E288" s="1"/>
    </row>
    <row r="289" spans="3:5">
      <c r="C289" s="1"/>
      <c r="E289" s="1"/>
    </row>
    <row r="290" spans="3:5">
      <c r="C290" s="1"/>
      <c r="E290" s="1"/>
    </row>
    <row r="291" spans="3:5">
      <c r="C291" s="1"/>
      <c r="E291" s="1"/>
    </row>
    <row r="292" spans="3:5">
      <c r="C292" s="1"/>
      <c r="E292" s="1"/>
    </row>
    <row r="293" spans="3:5">
      <c r="C293" s="1"/>
      <c r="E293" s="1"/>
    </row>
    <row r="294" spans="3:5">
      <c r="C294" s="1"/>
      <c r="E294" s="1"/>
    </row>
    <row r="295" spans="3:5">
      <c r="C295" s="1"/>
      <c r="E295" s="1"/>
    </row>
    <row r="296" spans="3:5">
      <c r="C296" s="1"/>
      <c r="E296" s="1"/>
    </row>
    <row r="297" spans="3:5">
      <c r="C297" s="1"/>
      <c r="E297" s="1"/>
    </row>
    <row r="298" spans="3:5">
      <c r="C298" s="1"/>
      <c r="E298" s="1"/>
    </row>
    <row r="299" spans="3:5">
      <c r="C299" s="1"/>
      <c r="E299" s="1"/>
    </row>
    <row r="300" spans="3:5">
      <c r="C300" s="1"/>
      <c r="E300" s="1"/>
    </row>
    <row r="301" spans="3:5">
      <c r="C301" s="1"/>
      <c r="E301" s="1"/>
    </row>
    <row r="302" spans="3:5">
      <c r="C302" s="1"/>
      <c r="E302" s="1"/>
    </row>
    <row r="303" spans="3:5">
      <c r="C303" s="1"/>
      <c r="E303" s="1"/>
    </row>
    <row r="304" spans="3:5">
      <c r="C304" s="1"/>
      <c r="E304" s="1"/>
    </row>
    <row r="305" spans="3:5">
      <c r="C305" s="1"/>
      <c r="E305" s="1"/>
    </row>
    <row r="306" spans="3:5">
      <c r="C306" s="1"/>
      <c r="E306" s="1"/>
    </row>
    <row r="307" spans="3:5">
      <c r="C307" s="1"/>
      <c r="E307" s="1"/>
    </row>
    <row r="308" spans="3:5">
      <c r="C308" s="1"/>
      <c r="E308" s="1"/>
    </row>
    <row r="309" spans="3:5">
      <c r="C309" s="1"/>
      <c r="E309" s="1"/>
    </row>
    <row r="310" spans="3:5">
      <c r="C310" s="1"/>
      <c r="E310" s="1"/>
    </row>
    <row r="311" spans="3:5">
      <c r="C311" s="1"/>
      <c r="E311" s="1"/>
    </row>
    <row r="312" spans="3:5">
      <c r="C312" s="1"/>
      <c r="E312" s="1"/>
    </row>
    <row r="313" spans="3:5">
      <c r="C313" s="1"/>
      <c r="E313" s="1"/>
    </row>
    <row r="314" spans="3:5">
      <c r="C314" s="1"/>
      <c r="E314" s="1"/>
    </row>
    <row r="315" spans="3:5">
      <c r="C315" s="1"/>
      <c r="E315" s="1"/>
    </row>
    <row r="316" spans="3:5">
      <c r="C316" s="1"/>
      <c r="E316" s="1"/>
    </row>
    <row r="317" spans="3:5">
      <c r="C317" s="1"/>
      <c r="E317" s="1"/>
    </row>
    <row r="318" spans="3:5">
      <c r="C318" s="1"/>
      <c r="E318" s="1"/>
    </row>
    <row r="319" spans="3:5">
      <c r="C319" s="1"/>
      <c r="E319" s="1"/>
    </row>
    <row r="320" spans="3:5">
      <c r="C320" s="1"/>
      <c r="E320" s="1"/>
    </row>
    <row r="321" spans="3:5">
      <c r="C321" s="1"/>
      <c r="E321" s="1"/>
    </row>
    <row r="322" spans="3:5">
      <c r="C322" s="1"/>
      <c r="E322" s="1"/>
    </row>
    <row r="323" spans="3:5">
      <c r="C323" s="1"/>
      <c r="E323" s="1"/>
    </row>
    <row r="324" spans="3:5">
      <c r="C324" s="1"/>
      <c r="E324" s="1"/>
    </row>
    <row r="325" spans="3:5">
      <c r="C325" s="1"/>
      <c r="E325" s="1"/>
    </row>
    <row r="326" spans="3:5">
      <c r="C326" s="1"/>
      <c r="E326" s="1"/>
    </row>
    <row r="327" spans="3:5">
      <c r="C327" s="1"/>
      <c r="E327" s="1"/>
    </row>
    <row r="328" spans="3:5">
      <c r="C328" s="1"/>
      <c r="E328" s="1"/>
    </row>
    <row r="329" spans="3:5">
      <c r="C329" s="1"/>
      <c r="E329" s="1"/>
    </row>
    <row r="330" spans="3:5">
      <c r="C330" s="1"/>
      <c r="E330" s="1"/>
    </row>
    <row r="331" spans="3:5">
      <c r="C331" s="1"/>
      <c r="E331" s="1"/>
    </row>
    <row r="332" spans="3:5">
      <c r="C332" s="1"/>
      <c r="E332" s="1"/>
    </row>
    <row r="333" spans="3:5">
      <c r="C333" s="1"/>
      <c r="E333" s="1"/>
    </row>
    <row r="334" spans="3:5">
      <c r="C334" s="1"/>
      <c r="E334" s="1"/>
    </row>
    <row r="335" spans="3:5">
      <c r="C335" s="1"/>
      <c r="E335" s="1"/>
    </row>
    <row r="336" spans="3:5">
      <c r="C336" s="1"/>
      <c r="E336" s="1"/>
    </row>
    <row r="337" spans="3:5">
      <c r="C337" s="1"/>
      <c r="E337" s="1"/>
    </row>
    <row r="338" spans="3:5">
      <c r="C338" s="1"/>
      <c r="E338" s="1"/>
    </row>
    <row r="339" spans="3:5">
      <c r="C339" s="1"/>
      <c r="E339" s="1"/>
    </row>
    <row r="340" spans="3:5">
      <c r="C340" s="1"/>
      <c r="E340" s="1"/>
    </row>
    <row r="341" spans="3:5">
      <c r="C341" s="1"/>
      <c r="E341" s="1"/>
    </row>
    <row r="342" spans="3:5">
      <c r="C342" s="1"/>
      <c r="E342" s="1"/>
    </row>
    <row r="343" spans="3:5">
      <c r="C343" s="1"/>
      <c r="E343" s="1"/>
    </row>
    <row r="344" spans="3:5">
      <c r="C344" s="1"/>
      <c r="E344" s="1"/>
    </row>
    <row r="345" spans="3:5">
      <c r="C345" s="1"/>
      <c r="E345" s="1"/>
    </row>
    <row r="346" spans="3:5">
      <c r="C346" s="1"/>
      <c r="E346" s="1"/>
    </row>
    <row r="347" spans="3:5">
      <c r="C347" s="1"/>
      <c r="E347" s="1"/>
    </row>
    <row r="348" spans="3:5">
      <c r="C348" s="1"/>
      <c r="E348" s="1"/>
    </row>
    <row r="349" spans="3:5">
      <c r="C349" s="1"/>
      <c r="E349" s="1"/>
    </row>
    <row r="350" spans="3:5">
      <c r="C350" s="1"/>
      <c r="E350" s="1"/>
    </row>
    <row r="351" spans="3:5">
      <c r="C351" s="1"/>
      <c r="E351" s="1"/>
    </row>
    <row r="352" spans="3:5">
      <c r="C352" s="1"/>
      <c r="E352" s="1"/>
    </row>
    <row r="353" spans="3:5">
      <c r="C353" s="1"/>
      <c r="E353" s="1"/>
    </row>
    <row r="354" spans="3:5">
      <c r="C354" s="1"/>
      <c r="E354" s="1"/>
    </row>
    <row r="355" spans="3:5">
      <c r="C355" s="1"/>
      <c r="E355" s="1"/>
    </row>
    <row r="356" spans="3:5">
      <c r="C356" s="1"/>
      <c r="E356" s="1"/>
    </row>
    <row r="357" spans="3:5">
      <c r="C357" s="1"/>
      <c r="E357" s="1"/>
    </row>
    <row r="358" spans="3:5">
      <c r="C358" s="1"/>
      <c r="E358" s="1"/>
    </row>
    <row r="359" spans="3:5">
      <c r="C359" s="1"/>
      <c r="E359" s="1"/>
    </row>
    <row r="360" spans="3:5">
      <c r="C360" s="1"/>
      <c r="E360" s="1"/>
    </row>
    <row r="361" spans="3:5">
      <c r="C361" s="1"/>
      <c r="E361" s="1"/>
    </row>
    <row r="362" spans="3:5">
      <c r="C362" s="1"/>
      <c r="E362" s="1"/>
    </row>
    <row r="363" spans="3:5">
      <c r="C363" s="1"/>
      <c r="E363" s="1"/>
    </row>
    <row r="364" spans="3:5">
      <c r="C364" s="1"/>
      <c r="E364" s="1"/>
    </row>
    <row r="365" spans="3:5">
      <c r="C365" s="1"/>
      <c r="E365" s="1"/>
    </row>
    <row r="366" spans="3:5">
      <c r="C366" s="1"/>
      <c r="E366" s="1"/>
    </row>
    <row r="367" spans="3:5">
      <c r="C367" s="1"/>
      <c r="E367" s="1"/>
    </row>
    <row r="368" spans="3:5">
      <c r="C368" s="1"/>
      <c r="E368" s="1"/>
    </row>
    <row r="369" spans="3:5">
      <c r="C369" s="1"/>
      <c r="E369" s="1"/>
    </row>
    <row r="370" spans="3:5">
      <c r="C370" s="1"/>
      <c r="E370" s="1"/>
    </row>
    <row r="371" spans="3:5">
      <c r="C371" s="1"/>
      <c r="E371" s="1"/>
    </row>
    <row r="372" spans="3:5">
      <c r="C372" s="1"/>
      <c r="E372" s="1"/>
    </row>
    <row r="373" spans="3:5">
      <c r="C373" s="1"/>
      <c r="E373" s="1"/>
    </row>
    <row r="374" spans="3:5">
      <c r="C374" s="1"/>
      <c r="E374" s="1"/>
    </row>
    <row r="375" spans="3:5">
      <c r="C375" s="1"/>
      <c r="E375" s="1"/>
    </row>
    <row r="376" spans="3:5">
      <c r="C376" s="1"/>
      <c r="E376" s="1"/>
    </row>
    <row r="377" spans="3:5">
      <c r="C377" s="1"/>
      <c r="E377" s="1"/>
    </row>
    <row r="378" spans="3:5">
      <c r="C378" s="1"/>
      <c r="E378" s="1"/>
    </row>
    <row r="379" spans="3:5">
      <c r="C379" s="1"/>
      <c r="E379" s="1"/>
    </row>
    <row r="380" spans="3:5">
      <c r="C380" s="1"/>
      <c r="E380" s="1"/>
    </row>
    <row r="381" spans="3:5">
      <c r="C381" s="1"/>
      <c r="E381" s="1"/>
    </row>
    <row r="382" spans="3:5">
      <c r="C382" s="1"/>
      <c r="E382" s="1"/>
    </row>
    <row r="383" spans="3:5">
      <c r="C383" s="1"/>
      <c r="E383" s="1"/>
    </row>
    <row r="384" spans="3:5">
      <c r="C384" s="1"/>
      <c r="E384" s="1"/>
    </row>
    <row r="385" spans="3:5">
      <c r="C385" s="1"/>
      <c r="E385" s="1"/>
    </row>
    <row r="386" spans="3:5">
      <c r="C386" s="1"/>
      <c r="E386" s="1"/>
    </row>
    <row r="387" spans="3:5">
      <c r="C387" s="1"/>
      <c r="E387" s="1"/>
    </row>
    <row r="388" spans="3:5">
      <c r="C388" s="1"/>
      <c r="E388" s="1"/>
    </row>
    <row r="389" spans="3:5">
      <c r="C389" s="1"/>
      <c r="E389" s="1"/>
    </row>
    <row r="390" spans="3:5">
      <c r="C390" s="1"/>
      <c r="E390" s="1"/>
    </row>
    <row r="391" spans="3:5">
      <c r="C391" s="1"/>
      <c r="E391" s="1"/>
    </row>
    <row r="392" spans="3:5">
      <c r="C392" s="1"/>
      <c r="E392" s="1"/>
    </row>
    <row r="393" spans="3:5">
      <c r="C393" s="1"/>
      <c r="E393" s="1"/>
    </row>
    <row r="394" spans="3:5">
      <c r="C394" s="1"/>
      <c r="E394" s="1"/>
    </row>
    <row r="395" spans="3:5">
      <c r="C395" s="1"/>
      <c r="E395" s="1"/>
    </row>
    <row r="396" spans="3:5">
      <c r="C396" s="1"/>
      <c r="E396" s="1"/>
    </row>
    <row r="397" spans="3:5">
      <c r="C397" s="1"/>
      <c r="E397" s="1"/>
    </row>
    <row r="398" spans="3:5">
      <c r="C398" s="1"/>
      <c r="E398" s="1"/>
    </row>
    <row r="399" spans="3:5">
      <c r="C399" s="1"/>
      <c r="E399" s="1"/>
    </row>
    <row r="400" spans="3:5">
      <c r="C400" s="1"/>
      <c r="E400" s="1"/>
    </row>
    <row r="401" spans="3:5">
      <c r="C401" s="1"/>
      <c r="E401" s="1"/>
    </row>
    <row r="402" spans="3:5">
      <c r="C402" s="1"/>
      <c r="E402" s="1"/>
    </row>
    <row r="403" spans="3:5">
      <c r="C403" s="1"/>
      <c r="E403" s="1"/>
    </row>
    <row r="404" spans="3:5">
      <c r="C404" s="1"/>
      <c r="E404" s="1"/>
    </row>
    <row r="405" spans="3:5">
      <c r="C405" s="1"/>
      <c r="E405" s="1"/>
    </row>
    <row r="406" spans="3:5">
      <c r="C406" s="1"/>
      <c r="E406" s="1"/>
    </row>
    <row r="407" spans="3:5">
      <c r="C407" s="1"/>
      <c r="E407" s="1"/>
    </row>
    <row r="408" spans="3:5">
      <c r="C408" s="1"/>
      <c r="E408" s="1"/>
    </row>
    <row r="409" spans="3:5">
      <c r="C409" s="1"/>
      <c r="E409" s="1"/>
    </row>
    <row r="410" spans="3:5">
      <c r="C410" s="1"/>
      <c r="E410" s="1"/>
    </row>
    <row r="411" spans="3:5">
      <c r="C411" s="1"/>
      <c r="E411" s="1"/>
    </row>
    <row r="412" spans="3:5">
      <c r="C412" s="1"/>
      <c r="E412" s="1"/>
    </row>
    <row r="413" spans="3:5">
      <c r="C413" s="1"/>
      <c r="E413" s="1"/>
    </row>
    <row r="414" spans="3:5">
      <c r="C414" s="1"/>
      <c r="E414" s="1"/>
    </row>
    <row r="415" spans="3:5">
      <c r="C415" s="1"/>
      <c r="E415" s="1"/>
    </row>
    <row r="416" spans="3:5">
      <c r="C416" s="1"/>
      <c r="E416" s="1"/>
    </row>
    <row r="417" spans="3:5">
      <c r="C417" s="1"/>
      <c r="E417" s="1"/>
    </row>
    <row r="418" spans="3:5">
      <c r="C418" s="1"/>
      <c r="E418" s="1"/>
    </row>
    <row r="419" spans="3:5">
      <c r="C419" s="1"/>
      <c r="E419" s="1"/>
    </row>
    <row r="420" spans="3:5">
      <c r="C420" s="1"/>
      <c r="E420" s="1"/>
    </row>
    <row r="421" spans="3:5">
      <c r="C421" s="1"/>
      <c r="E421" s="1"/>
    </row>
    <row r="422" spans="3:5">
      <c r="C422" s="1"/>
      <c r="E422" s="1"/>
    </row>
    <row r="423" spans="3:5">
      <c r="C423" s="1"/>
      <c r="E423" s="1"/>
    </row>
    <row r="424" spans="3:5">
      <c r="C424" s="1"/>
      <c r="E424" s="1"/>
    </row>
    <row r="425" spans="3:5">
      <c r="C425" s="1"/>
      <c r="E425" s="1"/>
    </row>
    <row r="426" spans="3:5">
      <c r="C426" s="1"/>
      <c r="E426" s="1"/>
    </row>
    <row r="427" spans="3:5">
      <c r="C427" s="1"/>
      <c r="E427" s="1"/>
    </row>
    <row r="428" spans="3:5">
      <c r="C428" s="1"/>
      <c r="E428" s="1"/>
    </row>
    <row r="429" spans="3:5">
      <c r="C429" s="1"/>
      <c r="E429" s="1"/>
    </row>
    <row r="430" spans="3:5">
      <c r="C430" s="1"/>
      <c r="E430" s="1"/>
    </row>
    <row r="431" spans="3:5">
      <c r="C431" s="1"/>
      <c r="E431" s="1"/>
    </row>
    <row r="432" spans="3:5">
      <c r="C432" s="1"/>
      <c r="E432" s="1"/>
    </row>
    <row r="433" spans="3:5">
      <c r="C433" s="1"/>
      <c r="E433" s="1"/>
    </row>
    <row r="434" spans="3:5">
      <c r="C434" s="1"/>
      <c r="E434" s="1"/>
    </row>
    <row r="435" spans="3:5">
      <c r="C435" s="1"/>
      <c r="E435" s="1"/>
    </row>
    <row r="436" spans="3:5">
      <c r="C436" s="1"/>
      <c r="E436" s="1"/>
    </row>
    <row r="437" spans="3:5">
      <c r="C437" s="1"/>
      <c r="E437" s="1"/>
    </row>
    <row r="438" spans="3:5">
      <c r="C438" s="1"/>
      <c r="E438" s="1"/>
    </row>
    <row r="439" spans="3:5">
      <c r="C439" s="1"/>
      <c r="E439" s="1"/>
    </row>
    <row r="440" spans="3:5">
      <c r="C440" s="1"/>
      <c r="E440" s="1"/>
    </row>
    <row r="441" spans="3:5">
      <c r="C441" s="1"/>
      <c r="E441" s="1"/>
    </row>
    <row r="442" spans="3:5">
      <c r="C442" s="1"/>
      <c r="E442" s="1"/>
    </row>
    <row r="443" spans="3:5">
      <c r="C443" s="1"/>
      <c r="E443" s="1"/>
    </row>
    <row r="444" spans="3:5">
      <c r="C444" s="1"/>
      <c r="E444" s="1"/>
    </row>
    <row r="445" spans="3:5">
      <c r="C445" s="1"/>
      <c r="E445" s="1"/>
    </row>
    <row r="446" spans="3:5">
      <c r="C446" s="1"/>
      <c r="E446" s="1"/>
    </row>
    <row r="447" spans="3:5">
      <c r="C447" s="1"/>
      <c r="E447" s="1"/>
    </row>
    <row r="448" spans="3:5">
      <c r="C448" s="1"/>
      <c r="E448" s="1"/>
    </row>
    <row r="449" spans="3:5">
      <c r="C449" s="1"/>
      <c r="E449" s="1"/>
    </row>
    <row r="450" spans="3:5">
      <c r="C450" s="1"/>
      <c r="E450" s="1"/>
    </row>
    <row r="451" spans="3:5">
      <c r="C451" s="1"/>
      <c r="E451" s="1"/>
    </row>
    <row r="452" spans="3:5">
      <c r="C452" s="1"/>
      <c r="E452" s="1"/>
    </row>
    <row r="453" spans="3:5">
      <c r="C453" s="1"/>
      <c r="E453" s="1"/>
    </row>
    <row r="454" spans="3:5">
      <c r="C454" s="1"/>
      <c r="E454" s="1"/>
    </row>
    <row r="455" spans="3:5">
      <c r="C455" s="1"/>
      <c r="E455" s="1"/>
    </row>
    <row r="456" spans="3:5">
      <c r="C456" s="1"/>
      <c r="E456" s="1"/>
    </row>
    <row r="457" spans="3:5">
      <c r="C457" s="1"/>
      <c r="E457" s="1"/>
    </row>
    <row r="458" spans="3:5">
      <c r="C458" s="1"/>
      <c r="E458" s="1"/>
    </row>
    <row r="459" spans="3:5">
      <c r="C459" s="1"/>
      <c r="E459" s="1"/>
    </row>
    <row r="460" spans="3:5">
      <c r="C460" s="1"/>
      <c r="E460" s="1"/>
    </row>
    <row r="461" spans="3:5">
      <c r="C461" s="1"/>
      <c r="E461" s="1"/>
    </row>
    <row r="462" spans="3:5">
      <c r="C462" s="1"/>
      <c r="E462" s="1"/>
    </row>
    <row r="463" spans="3:5">
      <c r="C463" s="1"/>
      <c r="E463" s="1"/>
    </row>
    <row r="464" spans="3:5">
      <c r="C464" s="1"/>
      <c r="E464" s="1"/>
    </row>
    <row r="465" spans="3:5">
      <c r="C465" s="1"/>
      <c r="E465" s="1"/>
    </row>
    <row r="466" spans="3:5">
      <c r="C466" s="1"/>
      <c r="E466" s="1"/>
    </row>
    <row r="467" spans="3:5">
      <c r="C467" s="1"/>
      <c r="E467" s="1"/>
    </row>
    <row r="468" spans="3:5">
      <c r="C468" s="1"/>
      <c r="E468" s="1"/>
    </row>
    <row r="469" spans="3:5">
      <c r="C469" s="1"/>
      <c r="E469" s="1"/>
    </row>
    <row r="470" spans="3:5">
      <c r="C470" s="1"/>
      <c r="E470" s="1"/>
    </row>
    <row r="471" spans="3:5">
      <c r="C471" s="1"/>
      <c r="E471" s="1"/>
    </row>
    <row r="472" spans="3:5">
      <c r="C472" s="1"/>
      <c r="E472" s="1"/>
    </row>
    <row r="473" spans="3:5">
      <c r="C473" s="1"/>
      <c r="E473" s="1"/>
    </row>
    <row r="474" spans="3:5">
      <c r="C474" s="1"/>
      <c r="E474" s="1"/>
    </row>
    <row r="475" spans="3:5">
      <c r="C475" s="1"/>
      <c r="E475" s="1"/>
    </row>
    <row r="476" spans="3:5">
      <c r="C476" s="1"/>
      <c r="E476" s="1"/>
    </row>
    <row r="477" spans="3:5">
      <c r="C477" s="1"/>
      <c r="E477" s="1"/>
    </row>
    <row r="478" spans="3:5">
      <c r="C478" s="1"/>
      <c r="E478" s="1"/>
    </row>
    <row r="479" spans="3:5">
      <c r="C479" s="1"/>
      <c r="E479" s="1"/>
    </row>
    <row r="480" spans="3:5">
      <c r="C480" s="1"/>
      <c r="E480" s="1"/>
    </row>
    <row r="481" spans="3:5">
      <c r="C481" s="1"/>
      <c r="E481" s="1"/>
    </row>
    <row r="482" spans="3:5">
      <c r="C482" s="1"/>
      <c r="E482" s="1"/>
    </row>
    <row r="483" spans="3:5">
      <c r="C483" s="1"/>
      <c r="E483" s="1"/>
    </row>
    <row r="484" spans="3:5">
      <c r="C484" s="1"/>
      <c r="E484" s="1"/>
    </row>
    <row r="485" spans="3:5">
      <c r="C485" s="1"/>
      <c r="E485" s="1"/>
    </row>
    <row r="486" spans="3:5">
      <c r="C486" s="1"/>
      <c r="E486" s="1"/>
    </row>
    <row r="487" spans="3:5">
      <c r="C487" s="1"/>
      <c r="E487" s="1"/>
    </row>
    <row r="488" spans="3:5">
      <c r="C488" s="1"/>
      <c r="E488" s="1"/>
    </row>
    <row r="489" spans="3:5">
      <c r="C489" s="1"/>
      <c r="E489" s="1"/>
    </row>
    <row r="490" spans="3:5">
      <c r="C490" s="1"/>
      <c r="E490" s="1"/>
    </row>
    <row r="491" spans="3:5">
      <c r="C491" s="1"/>
      <c r="E491" s="1"/>
    </row>
    <row r="492" spans="3:5">
      <c r="C492" s="1"/>
      <c r="E492" s="1"/>
    </row>
    <row r="493" spans="3:5">
      <c r="C493" s="1"/>
      <c r="E493" s="1"/>
    </row>
    <row r="494" spans="3:5">
      <c r="C494" s="1"/>
      <c r="E494" s="1"/>
    </row>
    <row r="495" spans="3:5">
      <c r="C495" s="1"/>
      <c r="E495" s="1"/>
    </row>
    <row r="496" spans="3:5">
      <c r="C496" s="1"/>
      <c r="E496" s="1"/>
    </row>
    <row r="497" spans="3:5">
      <c r="C497" s="1"/>
      <c r="E497" s="1"/>
    </row>
    <row r="498" spans="3:5">
      <c r="C498" s="1"/>
      <c r="E498" s="1"/>
    </row>
    <row r="499" spans="3:5">
      <c r="C499" s="1"/>
      <c r="E499" s="1"/>
    </row>
    <row r="500" spans="3:5">
      <c r="C500" s="1"/>
      <c r="E500" s="1"/>
    </row>
    <row r="501" spans="3:5">
      <c r="C501" s="1"/>
      <c r="E501" s="1"/>
    </row>
    <row r="502" spans="3:5">
      <c r="C502" s="1"/>
      <c r="E502" s="1"/>
    </row>
    <row r="503" spans="3:5">
      <c r="C503" s="1"/>
      <c r="E503" s="1"/>
    </row>
    <row r="504" spans="3:5">
      <c r="C504" s="1"/>
      <c r="E504" s="1"/>
    </row>
    <row r="505" spans="3:5">
      <c r="C505" s="1"/>
      <c r="E505" s="1"/>
    </row>
    <row r="506" spans="3:5">
      <c r="C506" s="1"/>
      <c r="E506" s="1"/>
    </row>
    <row r="507" spans="3:5">
      <c r="C507" s="1"/>
      <c r="E507" s="1"/>
    </row>
    <row r="508" spans="3:5">
      <c r="C508" s="1"/>
      <c r="E508" s="1"/>
    </row>
    <row r="509" spans="3:5">
      <c r="C509" s="1"/>
      <c r="E509" s="1"/>
    </row>
    <row r="510" spans="3:5">
      <c r="C510" s="1"/>
      <c r="E510" s="1"/>
    </row>
    <row r="511" spans="3:5">
      <c r="C511" s="1"/>
      <c r="E511" s="1"/>
    </row>
    <row r="512" spans="3:5">
      <c r="C512" s="1"/>
      <c r="E512" s="1"/>
    </row>
    <row r="513" spans="3:5">
      <c r="C513" s="1"/>
      <c r="E513" s="1"/>
    </row>
    <row r="514" spans="3:5">
      <c r="C514" s="1"/>
      <c r="E514" s="1"/>
    </row>
    <row r="515" spans="3:5">
      <c r="C515" s="1"/>
      <c r="E515" s="1"/>
    </row>
    <row r="516" spans="3:5">
      <c r="C516" s="1"/>
      <c r="E516" s="1"/>
    </row>
    <row r="517" spans="3:5">
      <c r="C517" s="1"/>
      <c r="E517" s="1"/>
    </row>
    <row r="518" spans="3:5">
      <c r="C518" s="1"/>
      <c r="E518" s="1"/>
    </row>
    <row r="519" spans="3:5">
      <c r="C519" s="1"/>
      <c r="E519" s="1"/>
    </row>
    <row r="520" spans="3:5">
      <c r="C520" s="1"/>
      <c r="E520" s="1"/>
    </row>
    <row r="521" spans="3:5">
      <c r="C521" s="1"/>
      <c r="E521" s="1"/>
    </row>
    <row r="522" spans="3:5">
      <c r="C522" s="1"/>
      <c r="E522" s="1"/>
    </row>
    <row r="523" spans="3:5">
      <c r="C523" s="1"/>
      <c r="E523" s="1"/>
    </row>
    <row r="524" spans="3:5">
      <c r="C524" s="1"/>
      <c r="E524" s="1"/>
    </row>
    <row r="525" spans="3:5">
      <c r="C525" s="1"/>
      <c r="E525" s="1"/>
    </row>
    <row r="526" spans="3:5">
      <c r="C526" s="1"/>
      <c r="E526" s="1"/>
    </row>
    <row r="527" spans="3:5">
      <c r="C527" s="1"/>
      <c r="E527" s="1"/>
    </row>
    <row r="528" spans="3:5">
      <c r="C528" s="1"/>
      <c r="E528" s="1"/>
    </row>
    <row r="529" spans="3:5">
      <c r="C529" s="1"/>
      <c r="E529" s="1"/>
    </row>
    <row r="530" spans="3:5">
      <c r="C530" s="1"/>
      <c r="E530" s="1"/>
    </row>
    <row r="531" spans="3:5">
      <c r="C531" s="1"/>
      <c r="E531" s="1"/>
    </row>
    <row r="532" spans="3:5">
      <c r="C532" s="1"/>
      <c r="E532" s="1"/>
    </row>
    <row r="533" spans="3:5">
      <c r="C533" s="1"/>
      <c r="E533" s="1"/>
    </row>
    <row r="534" spans="3:5">
      <c r="C534" s="1"/>
      <c r="E534" s="1"/>
    </row>
    <row r="535" spans="3:5">
      <c r="C535" s="1"/>
      <c r="E535" s="1"/>
    </row>
    <row r="536" spans="3:5">
      <c r="C536" s="1"/>
      <c r="E536" s="1"/>
    </row>
    <row r="537" spans="3:5">
      <c r="C537" s="1"/>
      <c r="E537" s="1"/>
    </row>
    <row r="538" spans="3:5">
      <c r="C538" s="1"/>
      <c r="E538" s="1"/>
    </row>
    <row r="539" spans="3:5">
      <c r="C539" s="1"/>
      <c r="E539" s="1"/>
    </row>
    <row r="540" spans="3:5">
      <c r="C540" s="1"/>
      <c r="E540" s="1"/>
    </row>
    <row r="541" spans="3:5">
      <c r="C541" s="1"/>
      <c r="E541" s="1"/>
    </row>
    <row r="542" spans="3:5">
      <c r="C542" s="1"/>
      <c r="E542" s="1"/>
    </row>
    <row r="543" spans="3:5">
      <c r="C543" s="1"/>
      <c r="E543" s="1"/>
    </row>
    <row r="544" spans="3:5">
      <c r="C544" s="1"/>
      <c r="E544" s="1"/>
    </row>
    <row r="545" spans="3:5">
      <c r="C545" s="1"/>
      <c r="E545" s="1"/>
    </row>
    <row r="546" spans="3:5">
      <c r="C546" s="1"/>
      <c r="E546" s="1"/>
    </row>
    <row r="547" spans="3:5">
      <c r="C547" s="1"/>
      <c r="E547" s="1"/>
    </row>
    <row r="548" spans="3:5">
      <c r="C548" s="1"/>
      <c r="E548" s="1"/>
    </row>
    <row r="549" spans="3:5">
      <c r="C549" s="1"/>
      <c r="E549" s="1"/>
    </row>
    <row r="550" spans="3:5">
      <c r="C550" s="1"/>
      <c r="E550" s="1"/>
    </row>
    <row r="551" spans="3:5">
      <c r="C551" s="1"/>
      <c r="E551" s="1"/>
    </row>
    <row r="552" spans="3:5">
      <c r="C552" s="1"/>
      <c r="E552" s="1"/>
    </row>
    <row r="553" spans="3:5">
      <c r="C553" s="1"/>
      <c r="E553" s="1"/>
    </row>
    <row r="554" spans="3:5">
      <c r="C554" s="1"/>
      <c r="E554" s="1"/>
    </row>
    <row r="555" spans="3:5">
      <c r="C555" s="1"/>
      <c r="E555" s="1"/>
    </row>
    <row r="556" spans="3:5">
      <c r="C556" s="1"/>
      <c r="E556" s="1"/>
    </row>
    <row r="557" spans="3:5">
      <c r="C557" s="1"/>
      <c r="E557" s="1"/>
    </row>
    <row r="558" spans="3:5">
      <c r="C558" s="1"/>
      <c r="E558" s="1"/>
    </row>
    <row r="559" spans="3:5">
      <c r="C559" s="1"/>
      <c r="E559" s="1"/>
    </row>
    <row r="560" spans="3:5">
      <c r="C560" s="1"/>
      <c r="E560" s="1"/>
    </row>
    <row r="561" spans="3:5">
      <c r="C561" s="1"/>
      <c r="E561" s="1"/>
    </row>
    <row r="562" spans="3:5">
      <c r="C562" s="1"/>
      <c r="E562" s="1"/>
    </row>
    <row r="563" spans="3:5">
      <c r="C563" s="1"/>
      <c r="E563" s="1"/>
    </row>
    <row r="564" spans="3:5">
      <c r="C564" s="1"/>
      <c r="E564" s="1"/>
    </row>
    <row r="565" spans="3:5">
      <c r="C565" s="1"/>
      <c r="E565" s="1"/>
    </row>
    <row r="566" spans="3:5">
      <c r="C566" s="1"/>
      <c r="E566" s="1"/>
    </row>
    <row r="567" spans="3:5">
      <c r="C567" s="1"/>
      <c r="E567" s="1"/>
    </row>
    <row r="568" spans="3:5">
      <c r="C568" s="1"/>
      <c r="E568" s="1"/>
    </row>
    <row r="569" spans="3:5">
      <c r="C569" s="1"/>
      <c r="E569" s="1"/>
    </row>
    <row r="570" spans="3:5">
      <c r="C570" s="1"/>
      <c r="E570" s="1"/>
    </row>
    <row r="571" spans="3:5">
      <c r="C571" s="1"/>
      <c r="E571" s="1"/>
    </row>
    <row r="572" spans="3:5">
      <c r="C572" s="1"/>
      <c r="E572" s="1"/>
    </row>
    <row r="573" spans="3:5">
      <c r="C573" s="1"/>
      <c r="E573" s="1"/>
    </row>
    <row r="574" spans="3:5">
      <c r="C574" s="1"/>
      <c r="E574" s="1"/>
    </row>
    <row r="575" spans="3:5">
      <c r="C575" s="1"/>
      <c r="E575" s="1"/>
    </row>
    <row r="576" spans="3:5">
      <c r="C576" s="1"/>
      <c r="E576" s="1"/>
    </row>
    <row r="577" spans="3:5">
      <c r="C577" s="1"/>
      <c r="E577" s="1"/>
    </row>
    <row r="578" spans="3:5">
      <c r="C578" s="1"/>
      <c r="E578" s="1"/>
    </row>
    <row r="579" spans="3:5">
      <c r="C579" s="1"/>
      <c r="E579" s="1"/>
    </row>
    <row r="580" spans="3:5">
      <c r="C580" s="1"/>
      <c r="E580" s="1"/>
    </row>
    <row r="581" spans="3:5">
      <c r="C581" s="1"/>
      <c r="E581" s="1"/>
    </row>
    <row r="582" spans="3:5">
      <c r="C582" s="1"/>
      <c r="E582" s="1"/>
    </row>
    <row r="583" spans="3:5">
      <c r="C583" s="1"/>
      <c r="E583" s="1"/>
    </row>
    <row r="584" spans="3:5">
      <c r="C584" s="1"/>
      <c r="E584" s="1"/>
    </row>
    <row r="585" spans="3:5">
      <c r="C585" s="1"/>
      <c r="E585" s="1"/>
    </row>
    <row r="586" spans="3:5">
      <c r="C586" s="1"/>
      <c r="E586" s="1"/>
    </row>
    <row r="587" spans="3:5">
      <c r="C587" s="1"/>
      <c r="E587" s="1"/>
    </row>
    <row r="588" spans="3:5">
      <c r="C588" s="1"/>
      <c r="E588" s="1"/>
    </row>
    <row r="589" spans="3:5">
      <c r="C589" s="1"/>
      <c r="E589" s="1"/>
    </row>
    <row r="590" spans="3:5">
      <c r="C590" s="1"/>
      <c r="E590" s="1"/>
    </row>
    <row r="591" spans="3:5">
      <c r="C591" s="1"/>
      <c r="E591" s="1"/>
    </row>
    <row r="592" spans="3:5">
      <c r="C592" s="1"/>
      <c r="E592" s="1"/>
    </row>
    <row r="593" spans="3:5">
      <c r="C593" s="1"/>
      <c r="E593" s="1"/>
    </row>
    <row r="594" spans="3:5">
      <c r="C594" s="1"/>
      <c r="E594" s="1"/>
    </row>
    <row r="595" spans="3:5">
      <c r="C595" s="1"/>
      <c r="E595" s="1"/>
    </row>
    <row r="596" spans="3:5">
      <c r="C596" s="1"/>
      <c r="E596" s="1"/>
    </row>
    <row r="597" spans="3:5">
      <c r="C597" s="1"/>
      <c r="E597" s="1"/>
    </row>
    <row r="598" spans="3:5">
      <c r="C598" s="1"/>
      <c r="E598" s="1"/>
    </row>
    <row r="599" spans="3:5">
      <c r="C599" s="1"/>
      <c r="E599" s="1"/>
    </row>
    <row r="600" spans="3:5">
      <c r="C600" s="1"/>
      <c r="E600" s="1"/>
    </row>
    <row r="601" spans="3:5">
      <c r="C601" s="1"/>
      <c r="E601" s="1"/>
    </row>
    <row r="602" spans="3:5">
      <c r="C602" s="1"/>
      <c r="E602" s="1"/>
    </row>
    <row r="603" spans="3:5">
      <c r="C603" s="1"/>
      <c r="E603" s="1"/>
    </row>
    <row r="604" spans="3:5">
      <c r="C604" s="1"/>
      <c r="E604" s="1"/>
    </row>
    <row r="605" spans="3:5">
      <c r="C605" s="1"/>
      <c r="E605" s="1"/>
    </row>
    <row r="606" spans="3:5">
      <c r="C606" s="1"/>
      <c r="E606" s="1"/>
    </row>
    <row r="607" spans="3:5">
      <c r="C607" s="1"/>
      <c r="E607" s="1"/>
    </row>
    <row r="608" spans="3:5">
      <c r="C608" s="1"/>
      <c r="E608" s="1"/>
    </row>
    <row r="609" spans="3:5">
      <c r="C609" s="1"/>
      <c r="E609" s="1"/>
    </row>
    <row r="610" spans="3:5">
      <c r="C610" s="1"/>
      <c r="E610" s="1"/>
    </row>
    <row r="611" spans="3:5">
      <c r="C611" s="1"/>
      <c r="E611" s="1"/>
    </row>
    <row r="612" spans="3:5">
      <c r="C612" s="1"/>
      <c r="E612" s="1"/>
    </row>
    <row r="613" spans="3:5">
      <c r="C613" s="1"/>
      <c r="E613" s="1"/>
    </row>
    <row r="614" spans="3:5">
      <c r="C614" s="1"/>
      <c r="E614" s="1"/>
    </row>
    <row r="615" spans="3:5">
      <c r="C615" s="1"/>
      <c r="E615" s="1"/>
    </row>
    <row r="616" spans="3:5">
      <c r="C616" s="1"/>
      <c r="E616" s="1"/>
    </row>
    <row r="617" spans="3:5">
      <c r="C617" s="1"/>
      <c r="E617" s="1"/>
    </row>
    <row r="618" spans="3:5">
      <c r="C618" s="1"/>
      <c r="E618" s="1"/>
    </row>
    <row r="619" spans="3:5">
      <c r="C619" s="1"/>
      <c r="E619" s="1"/>
    </row>
    <row r="620" spans="3:5">
      <c r="C620" s="1"/>
      <c r="E620" s="1"/>
    </row>
    <row r="621" spans="3:5">
      <c r="C621" s="1"/>
      <c r="E621" s="1"/>
    </row>
    <row r="622" spans="3:5">
      <c r="C622" s="1"/>
      <c r="E622" s="1"/>
    </row>
    <row r="623" spans="3:5">
      <c r="C623" s="1"/>
      <c r="E623" s="1"/>
    </row>
    <row r="624" spans="3:5">
      <c r="C624" s="1"/>
      <c r="E624" s="1"/>
    </row>
    <row r="625" spans="3:5">
      <c r="C625" s="1"/>
      <c r="E625" s="1"/>
    </row>
    <row r="626" spans="3:5">
      <c r="C626" s="1"/>
      <c r="E626" s="1"/>
    </row>
    <row r="627" spans="3:5">
      <c r="C627" s="1"/>
      <c r="E627" s="1"/>
    </row>
    <row r="628" spans="3:5">
      <c r="C628" s="1"/>
      <c r="E628" s="1"/>
    </row>
    <row r="629" spans="3:5">
      <c r="C629" s="1"/>
      <c r="E629" s="1"/>
    </row>
    <row r="630" spans="3:5">
      <c r="C630" s="1"/>
      <c r="E630" s="1"/>
    </row>
    <row r="631" spans="3:5">
      <c r="C631" s="1"/>
      <c r="E631" s="1"/>
    </row>
    <row r="632" spans="3:5">
      <c r="C632" s="1"/>
      <c r="E632" s="1"/>
    </row>
    <row r="633" spans="3:5">
      <c r="C633" s="1"/>
      <c r="E633" s="1"/>
    </row>
    <row r="634" spans="3:5">
      <c r="C634" s="1"/>
      <c r="E634" s="1"/>
    </row>
    <row r="635" spans="3:5">
      <c r="C635" s="1"/>
      <c r="E635" s="1"/>
    </row>
    <row r="636" spans="3:5">
      <c r="C636" s="1"/>
      <c r="E636" s="1"/>
    </row>
    <row r="637" spans="3:5">
      <c r="C637" s="1"/>
      <c r="E637" s="1"/>
    </row>
    <row r="638" spans="3:5">
      <c r="C638" s="1"/>
      <c r="E638" s="1"/>
    </row>
    <row r="639" spans="3:5">
      <c r="C639" s="1"/>
      <c r="E639" s="1"/>
    </row>
    <row r="640" spans="3:5">
      <c r="C640" s="1"/>
      <c r="E640" s="1"/>
    </row>
    <row r="641" spans="3:5">
      <c r="C641" s="1"/>
      <c r="E641" s="1"/>
    </row>
    <row r="642" spans="3:5">
      <c r="C642" s="1"/>
      <c r="E642" s="1"/>
    </row>
    <row r="643" spans="3:5">
      <c r="C643" s="1"/>
      <c r="E643" s="1"/>
    </row>
    <row r="644" spans="3:5">
      <c r="C644" s="1"/>
      <c r="E644" s="1"/>
    </row>
    <row r="645" spans="3:5">
      <c r="C645" s="1"/>
      <c r="E645" s="1"/>
    </row>
    <row r="646" spans="3:5">
      <c r="C646" s="1"/>
      <c r="E646" s="1"/>
    </row>
    <row r="647" spans="3:5">
      <c r="C647" s="1"/>
      <c r="E647" s="1"/>
    </row>
    <row r="648" spans="3:5">
      <c r="C648" s="1"/>
      <c r="E648" s="1"/>
    </row>
    <row r="649" spans="3:5">
      <c r="C649" s="1"/>
      <c r="E649" s="1"/>
    </row>
    <row r="650" spans="3:5">
      <c r="C650" s="1"/>
      <c r="E650" s="1"/>
    </row>
    <row r="651" spans="3:5">
      <c r="C651" s="1"/>
      <c r="E651" s="1"/>
    </row>
    <row r="652" spans="3:5">
      <c r="C652" s="1"/>
      <c r="E652" s="1"/>
    </row>
    <row r="653" spans="3:5">
      <c r="C653" s="1"/>
      <c r="E653" s="1"/>
    </row>
    <row r="654" spans="3:5">
      <c r="C654" s="1"/>
      <c r="E654" s="1"/>
    </row>
    <row r="655" spans="3:5">
      <c r="C655" s="1"/>
      <c r="E655" s="1"/>
    </row>
    <row r="656" spans="3:5">
      <c r="C656" s="1"/>
      <c r="E656" s="1"/>
    </row>
    <row r="657" spans="3:5">
      <c r="C657" s="1"/>
      <c r="E657" s="1"/>
    </row>
    <row r="658" spans="3:5">
      <c r="C658" s="1"/>
      <c r="E658" s="1"/>
    </row>
    <row r="659" spans="3:5">
      <c r="C659" s="1"/>
      <c r="E659" s="1"/>
    </row>
    <row r="660" spans="3:5">
      <c r="C660" s="1"/>
      <c r="E660" s="1"/>
    </row>
    <row r="661" spans="3:5">
      <c r="C661" s="1"/>
      <c r="E661" s="1"/>
    </row>
    <row r="662" spans="3:5">
      <c r="C662" s="1"/>
      <c r="E662" s="1"/>
    </row>
    <row r="663" spans="3:5">
      <c r="C663" s="1"/>
      <c r="E663" s="1"/>
    </row>
    <row r="664" spans="3:5">
      <c r="C664" s="1"/>
      <c r="E664" s="1"/>
    </row>
    <row r="665" spans="3:5">
      <c r="C665" s="1"/>
      <c r="E665" s="1"/>
    </row>
    <row r="666" spans="3:5">
      <c r="C666" s="1"/>
      <c r="E666" s="1"/>
    </row>
    <row r="667" spans="3:5">
      <c r="C667" s="1"/>
      <c r="E667" s="1"/>
    </row>
    <row r="668" spans="3:5">
      <c r="C668" s="1"/>
      <c r="E668" s="1"/>
    </row>
    <row r="669" spans="3:5">
      <c r="C669" s="1"/>
      <c r="E669" s="1"/>
    </row>
    <row r="670" spans="3:5">
      <c r="C670" s="1"/>
      <c r="E670" s="1"/>
    </row>
    <row r="671" spans="3:5">
      <c r="C671" s="1"/>
      <c r="E671" s="1"/>
    </row>
    <row r="672" spans="3:5">
      <c r="C672" s="1"/>
      <c r="E672" s="1"/>
    </row>
    <row r="673" spans="3:5">
      <c r="C673" s="1"/>
      <c r="E673" s="1"/>
    </row>
    <row r="674" spans="3:5">
      <c r="C674" s="1"/>
      <c r="E674" s="1"/>
    </row>
    <row r="675" spans="3:5">
      <c r="C675" s="1"/>
      <c r="E675" s="1"/>
    </row>
    <row r="676" spans="3:5">
      <c r="C676" s="1"/>
      <c r="E676" s="1"/>
    </row>
    <row r="677" spans="3:5">
      <c r="C677" s="1"/>
      <c r="E677" s="1"/>
    </row>
    <row r="678" spans="3:5">
      <c r="C678" s="1"/>
      <c r="E678" s="1"/>
    </row>
    <row r="679" spans="3:5">
      <c r="C679" s="1"/>
      <c r="E679" s="1"/>
    </row>
    <row r="680" spans="3:5">
      <c r="C680" s="1"/>
      <c r="E680" s="1"/>
    </row>
    <row r="681" spans="3:5">
      <c r="C681" s="1"/>
      <c r="E681" s="1"/>
    </row>
    <row r="682" spans="3:5">
      <c r="C682" s="1"/>
      <c r="E682" s="1"/>
    </row>
    <row r="683" spans="3:5">
      <c r="C683" s="1"/>
      <c r="E683" s="1"/>
    </row>
    <row r="684" spans="3:5">
      <c r="C684" s="1"/>
      <c r="E684" s="1"/>
    </row>
    <row r="685" spans="3:5">
      <c r="C685" s="1"/>
      <c r="E685" s="1"/>
    </row>
    <row r="686" spans="3:5">
      <c r="C686" s="1"/>
      <c r="E686" s="1"/>
    </row>
    <row r="687" spans="3:5">
      <c r="C687" s="1"/>
      <c r="E687" s="1"/>
    </row>
    <row r="688" spans="3:5">
      <c r="C688" s="1"/>
      <c r="E688" s="1"/>
    </row>
    <row r="689" spans="3:5">
      <c r="C689" s="1"/>
      <c r="E689" s="1"/>
    </row>
    <row r="690" spans="3:5">
      <c r="C690" s="1"/>
      <c r="E690" s="1"/>
    </row>
    <row r="691" spans="3:5">
      <c r="C691" s="1"/>
      <c r="E691" s="1"/>
    </row>
    <row r="692" spans="3:5">
      <c r="C692" s="1"/>
      <c r="E692" s="1"/>
    </row>
    <row r="693" spans="3:5">
      <c r="C693" s="1"/>
      <c r="E693" s="1"/>
    </row>
    <row r="694" spans="3:5">
      <c r="C694" s="1"/>
      <c r="E694" s="1"/>
    </row>
    <row r="695" spans="3:5">
      <c r="C695" s="1"/>
      <c r="E695" s="1"/>
    </row>
    <row r="696" spans="3:5">
      <c r="C696" s="1"/>
      <c r="E696" s="1"/>
    </row>
    <row r="697" spans="3:5">
      <c r="C697" s="1"/>
      <c r="E697" s="1"/>
    </row>
    <row r="698" spans="3:5">
      <c r="C698" s="1"/>
      <c r="E698" s="1"/>
    </row>
    <row r="699" spans="3:5">
      <c r="C699" s="1"/>
      <c r="E699" s="1"/>
    </row>
    <row r="700" spans="3:5">
      <c r="C700" s="1"/>
      <c r="E700" s="1"/>
    </row>
    <row r="701" spans="3:5">
      <c r="C701" s="1"/>
      <c r="E701" s="1"/>
    </row>
    <row r="702" spans="3:5">
      <c r="C702" s="1"/>
      <c r="E702" s="1"/>
    </row>
    <row r="703" spans="3:5">
      <c r="C703" s="1"/>
      <c r="E703" s="1"/>
    </row>
    <row r="704" spans="3:5">
      <c r="C704" s="1"/>
      <c r="E704" s="1"/>
    </row>
    <row r="705" spans="3:5">
      <c r="C705" s="1"/>
      <c r="E705" s="1"/>
    </row>
    <row r="706" spans="3:5">
      <c r="C706" s="1"/>
      <c r="E706" s="1"/>
    </row>
    <row r="707" spans="3:5">
      <c r="C707" s="1"/>
      <c r="E707" s="1"/>
    </row>
    <row r="708" spans="3:5">
      <c r="C708" s="1"/>
      <c r="E708" s="1"/>
    </row>
    <row r="709" spans="3:5">
      <c r="C709" s="1"/>
      <c r="E709" s="1"/>
    </row>
    <row r="710" spans="3:5">
      <c r="C710" s="1"/>
      <c r="E710" s="1"/>
    </row>
    <row r="711" spans="3:5">
      <c r="C711" s="1"/>
      <c r="E711" s="1"/>
    </row>
    <row r="712" spans="3:5">
      <c r="C712" s="1"/>
      <c r="E712" s="1"/>
    </row>
    <row r="713" spans="3:5">
      <c r="C713" s="1"/>
      <c r="E713" s="1"/>
    </row>
    <row r="714" spans="3:5">
      <c r="C714" s="1"/>
      <c r="E714" s="1"/>
    </row>
    <row r="715" spans="3:5">
      <c r="C715" s="1"/>
      <c r="E715" s="1"/>
    </row>
    <row r="716" spans="3:5">
      <c r="C716" s="1"/>
      <c r="E716" s="1"/>
    </row>
    <row r="717" spans="3:5">
      <c r="C717" s="1"/>
      <c r="E717" s="1"/>
    </row>
    <row r="718" spans="3:5">
      <c r="C718" s="1"/>
      <c r="E718" s="1"/>
    </row>
    <row r="719" spans="3:5">
      <c r="C719" s="1"/>
      <c r="E719" s="1"/>
    </row>
    <row r="720" spans="3:5">
      <c r="C720" s="1"/>
      <c r="E720" s="1"/>
    </row>
    <row r="721" spans="3:5">
      <c r="C721" s="1"/>
      <c r="E721" s="1"/>
    </row>
    <row r="722" spans="3:5">
      <c r="C722" s="1"/>
      <c r="E722" s="1"/>
    </row>
    <row r="723" spans="3:5">
      <c r="C723" s="1"/>
      <c r="E723" s="1"/>
    </row>
    <row r="724" spans="3:5">
      <c r="C724" s="1"/>
      <c r="E724" s="1"/>
    </row>
    <row r="725" spans="3:5">
      <c r="C725" s="1"/>
      <c r="E725" s="1"/>
    </row>
    <row r="726" spans="3:5">
      <c r="C726" s="1"/>
      <c r="E726" s="1"/>
    </row>
    <row r="727" spans="3:5">
      <c r="C727" s="1"/>
      <c r="E727" s="1"/>
    </row>
    <row r="728" spans="3:5">
      <c r="C728" s="1"/>
      <c r="E728" s="1"/>
    </row>
    <row r="729" spans="3:5">
      <c r="C729" s="1"/>
      <c r="E729" s="1"/>
    </row>
    <row r="730" spans="3:5">
      <c r="C730" s="1"/>
      <c r="E730" s="1"/>
    </row>
    <row r="731" spans="3:5">
      <c r="C731" s="1"/>
      <c r="E731" s="1"/>
    </row>
    <row r="732" spans="3:5">
      <c r="C732" s="1"/>
      <c r="E732" s="1"/>
    </row>
    <row r="733" spans="3:5">
      <c r="C733" s="1"/>
      <c r="E733" s="1"/>
    </row>
    <row r="734" spans="3:5">
      <c r="C734" s="1"/>
      <c r="E734" s="1"/>
    </row>
    <row r="735" spans="3:5">
      <c r="C735" s="1"/>
      <c r="E735" s="1"/>
    </row>
    <row r="736" spans="3:5">
      <c r="C736" s="1"/>
      <c r="E736" s="1"/>
    </row>
    <row r="737" spans="3:5">
      <c r="C737" s="1"/>
      <c r="E737" s="1"/>
    </row>
    <row r="738" spans="3:5">
      <c r="C738" s="1"/>
      <c r="E738" s="1"/>
    </row>
    <row r="739" spans="3:5">
      <c r="C739" s="1"/>
      <c r="E739" s="1"/>
    </row>
    <row r="740" spans="3:5">
      <c r="C740" s="1"/>
      <c r="E740" s="1"/>
    </row>
    <row r="741" spans="3:5">
      <c r="C741" s="1"/>
      <c r="E741" s="1"/>
    </row>
    <row r="742" spans="3:5">
      <c r="C742" s="1"/>
      <c r="E742" s="1"/>
    </row>
    <row r="743" spans="3:5">
      <c r="C743" s="1"/>
      <c r="E743" s="1"/>
    </row>
    <row r="744" spans="3:5">
      <c r="C744" s="1"/>
      <c r="E744" s="1"/>
    </row>
    <row r="745" spans="3:5">
      <c r="C745" s="1"/>
      <c r="E745" s="1"/>
    </row>
    <row r="746" spans="3:5">
      <c r="C746" s="1"/>
      <c r="E746" s="1"/>
    </row>
    <row r="747" spans="3:5">
      <c r="C747" s="1"/>
      <c r="E747" s="1"/>
    </row>
    <row r="748" spans="3:5">
      <c r="C748" s="1"/>
      <c r="E748" s="1"/>
    </row>
    <row r="749" spans="3:5">
      <c r="C749" s="1"/>
      <c r="E749" s="1"/>
    </row>
    <row r="750" spans="3:5">
      <c r="C750" s="1"/>
      <c r="E750" s="1"/>
    </row>
    <row r="751" spans="3:5">
      <c r="C751" s="1"/>
      <c r="E751" s="1"/>
    </row>
    <row r="752" spans="3:5">
      <c r="C752" s="1"/>
      <c r="E752" s="1"/>
    </row>
    <row r="753" spans="3:5">
      <c r="C753" s="1"/>
      <c r="E753" s="1"/>
    </row>
    <row r="754" spans="3:5">
      <c r="C754" s="1"/>
      <c r="E754" s="1"/>
    </row>
    <row r="755" spans="3:5">
      <c r="C755" s="1"/>
      <c r="E755" s="1"/>
    </row>
    <row r="756" spans="3:5">
      <c r="C756" s="1"/>
      <c r="E756" s="1"/>
    </row>
    <row r="757" spans="3:5">
      <c r="C757" s="1"/>
      <c r="E757" s="1"/>
    </row>
    <row r="758" spans="3:5">
      <c r="C758" s="1"/>
      <c r="E758" s="1"/>
    </row>
    <row r="759" spans="3:5">
      <c r="C759" s="1"/>
      <c r="E759" s="1"/>
    </row>
    <row r="760" spans="3:5">
      <c r="C760" s="1"/>
      <c r="E760" s="1"/>
    </row>
    <row r="761" spans="3:5">
      <c r="C761" s="1"/>
      <c r="E761" s="1"/>
    </row>
    <row r="762" spans="3:5">
      <c r="C762" s="1"/>
      <c r="E762" s="1"/>
    </row>
    <row r="763" spans="3:5">
      <c r="C763" s="1"/>
      <c r="E763" s="1"/>
    </row>
    <row r="764" spans="3:5">
      <c r="C764" s="1"/>
      <c r="E764" s="1"/>
    </row>
    <row r="765" spans="3:5">
      <c r="C765" s="1"/>
      <c r="E765" s="1"/>
    </row>
    <row r="766" spans="3:5">
      <c r="C766" s="1"/>
      <c r="E766" s="1"/>
    </row>
    <row r="767" spans="3:5">
      <c r="C767" s="1"/>
      <c r="E767" s="1"/>
    </row>
    <row r="768" spans="3:5">
      <c r="C768" s="1"/>
      <c r="E768" s="1"/>
    </row>
    <row r="769" spans="3:5">
      <c r="C769" s="1"/>
      <c r="E769" s="1"/>
    </row>
    <row r="770" spans="3:5">
      <c r="C770" s="1"/>
      <c r="E770" s="1"/>
    </row>
    <row r="771" spans="3:5">
      <c r="C771" s="1"/>
      <c r="E771" s="1"/>
    </row>
    <row r="772" spans="3:5">
      <c r="C772" s="1"/>
      <c r="E772" s="1"/>
    </row>
    <row r="773" spans="3:5">
      <c r="C773" s="1"/>
      <c r="E773" s="1"/>
    </row>
    <row r="774" spans="3:5">
      <c r="C774" s="1"/>
      <c r="E774" s="1"/>
    </row>
    <row r="775" spans="3:5">
      <c r="C775" s="1"/>
      <c r="E775" s="1"/>
    </row>
    <row r="776" spans="3:5">
      <c r="C776" s="1"/>
      <c r="E776" s="1"/>
    </row>
    <row r="777" spans="3:5">
      <c r="C777" s="1"/>
      <c r="E777" s="1"/>
    </row>
    <row r="778" spans="3:5">
      <c r="C778" s="1"/>
      <c r="E778" s="1"/>
    </row>
    <row r="779" spans="3:5">
      <c r="C779" s="1"/>
      <c r="E779" s="1"/>
    </row>
    <row r="780" spans="3:5">
      <c r="C780" s="1"/>
      <c r="E780" s="1"/>
    </row>
    <row r="781" spans="3:5">
      <c r="C781" s="1"/>
      <c r="E781" s="1"/>
    </row>
    <row r="782" spans="3:5">
      <c r="C782" s="1"/>
      <c r="E782" s="1"/>
    </row>
    <row r="783" spans="3:5">
      <c r="C783" s="1"/>
      <c r="E783" s="1"/>
    </row>
    <row r="784" spans="3:5">
      <c r="C784" s="1"/>
      <c r="E784" s="1"/>
    </row>
    <row r="785" spans="3:5">
      <c r="C785" s="1"/>
      <c r="E785" s="1"/>
    </row>
    <row r="786" spans="3:5">
      <c r="C786" s="1"/>
      <c r="E786" s="1"/>
    </row>
    <row r="787" spans="3:5">
      <c r="C787" s="1"/>
      <c r="E787" s="1"/>
    </row>
    <row r="788" spans="3:5">
      <c r="C788" s="1"/>
      <c r="E788" s="1"/>
    </row>
    <row r="789" spans="3:5">
      <c r="C789" s="1"/>
      <c r="E789" s="1"/>
    </row>
    <row r="790" spans="3:5">
      <c r="C790" s="1"/>
      <c r="E790" s="1"/>
    </row>
    <row r="791" spans="3:5">
      <c r="C791" s="1"/>
      <c r="E791" s="1"/>
    </row>
    <row r="792" spans="3:5">
      <c r="C792" s="1"/>
      <c r="E792" s="1"/>
    </row>
    <row r="793" spans="3:5">
      <c r="C793" s="1"/>
      <c r="E793" s="1"/>
    </row>
    <row r="794" spans="3:5">
      <c r="C794" s="1"/>
      <c r="E794" s="1"/>
    </row>
    <row r="795" spans="3:5">
      <c r="C795" s="1"/>
      <c r="E795" s="1"/>
    </row>
    <row r="796" spans="3:5">
      <c r="C796" s="1"/>
      <c r="E796" s="1"/>
    </row>
    <row r="797" spans="3:5">
      <c r="C797" s="1"/>
      <c r="E797" s="1"/>
    </row>
    <row r="798" spans="3:5">
      <c r="C798" s="1"/>
      <c r="E798" s="1"/>
    </row>
    <row r="799" spans="3:5">
      <c r="C799" s="1"/>
      <c r="E799" s="1"/>
    </row>
    <row r="800" spans="3:5">
      <c r="C800" s="1"/>
      <c r="E800" s="1"/>
    </row>
    <row r="801" spans="3:5">
      <c r="C801" s="1"/>
      <c r="E801" s="1"/>
    </row>
    <row r="802" spans="3:5">
      <c r="C802" s="1"/>
      <c r="E802" s="1"/>
    </row>
    <row r="803" spans="3:5">
      <c r="C803" s="1"/>
      <c r="E803" s="1"/>
    </row>
    <row r="804" spans="3:5">
      <c r="C804" s="1"/>
      <c r="E804" s="1"/>
    </row>
    <row r="805" spans="3:5">
      <c r="C805" s="1"/>
      <c r="E805" s="1"/>
    </row>
    <row r="806" spans="3:5">
      <c r="C806" s="1"/>
      <c r="E806" s="1"/>
    </row>
    <row r="807" spans="3:5">
      <c r="C807" s="1"/>
      <c r="E807" s="1"/>
    </row>
    <row r="808" spans="3:5">
      <c r="C808" s="1"/>
      <c r="E808" s="1"/>
    </row>
    <row r="809" spans="3:5">
      <c r="C809" s="1"/>
      <c r="E809" s="1"/>
    </row>
    <row r="810" spans="3:5">
      <c r="C810" s="1"/>
      <c r="E810" s="1"/>
    </row>
    <row r="811" spans="3:5">
      <c r="C811" s="1"/>
      <c r="E811" s="1"/>
    </row>
    <row r="812" spans="3:5">
      <c r="C812" s="1"/>
      <c r="E812" s="1"/>
    </row>
    <row r="813" spans="3:5">
      <c r="C813" s="1"/>
      <c r="E813" s="1"/>
    </row>
    <row r="814" spans="3:5">
      <c r="C814" s="1"/>
      <c r="E814" s="1"/>
    </row>
    <row r="815" spans="3:5">
      <c r="C815" s="1"/>
      <c r="E815" s="1"/>
    </row>
    <row r="816" spans="3:5">
      <c r="C816" s="1"/>
      <c r="E816" s="1"/>
    </row>
    <row r="817" spans="3:5">
      <c r="C817" s="1"/>
      <c r="E817" s="1"/>
    </row>
    <row r="818" spans="3:5">
      <c r="C818" s="1"/>
      <c r="E818" s="1"/>
    </row>
    <row r="819" spans="3:5">
      <c r="C819" s="1"/>
      <c r="E819" s="1"/>
    </row>
    <row r="820" spans="3:5">
      <c r="C820" s="1"/>
      <c r="E820" s="1"/>
    </row>
    <row r="821" spans="3:5">
      <c r="C821" s="1"/>
      <c r="E821" s="1"/>
    </row>
    <row r="822" spans="3:5">
      <c r="C822" s="1"/>
      <c r="E822" s="1"/>
    </row>
    <row r="823" spans="3:5">
      <c r="C823" s="1"/>
      <c r="E823" s="1"/>
    </row>
    <row r="824" spans="3:5">
      <c r="C824" s="1"/>
      <c r="E824" s="1"/>
    </row>
    <row r="825" spans="3:5">
      <c r="C825" s="1"/>
      <c r="E825" s="1"/>
    </row>
    <row r="826" spans="3:5">
      <c r="C826" s="1"/>
      <c r="E826" s="1"/>
    </row>
    <row r="827" spans="3:5">
      <c r="C827" s="1"/>
      <c r="E827" s="1"/>
    </row>
    <row r="828" spans="3:5">
      <c r="C828" s="1"/>
      <c r="E828" s="1"/>
    </row>
    <row r="829" spans="3:5">
      <c r="C829" s="1"/>
      <c r="E829" s="1"/>
    </row>
    <row r="830" spans="3:5">
      <c r="C830" s="1"/>
      <c r="E830" s="1"/>
    </row>
    <row r="831" spans="3:5">
      <c r="C831" s="1"/>
      <c r="E831" s="1"/>
    </row>
    <row r="832" spans="3:5">
      <c r="C832" s="1"/>
      <c r="E832" s="1"/>
    </row>
    <row r="833" spans="3:5">
      <c r="C833" s="1"/>
      <c r="E833" s="1"/>
    </row>
    <row r="834" spans="3:5">
      <c r="C834" s="1"/>
      <c r="E834" s="1"/>
    </row>
    <row r="835" spans="3:5">
      <c r="C835" s="1"/>
      <c r="E835" s="1"/>
    </row>
    <row r="836" spans="3:5">
      <c r="C836" s="1"/>
      <c r="E836" s="1"/>
    </row>
    <row r="837" spans="3:5">
      <c r="C837" s="1"/>
      <c r="E837" s="1"/>
    </row>
    <row r="838" spans="3:5">
      <c r="C838" s="1"/>
      <c r="E838" s="1"/>
    </row>
    <row r="839" spans="3:5">
      <c r="C839" s="1"/>
      <c r="E839" s="1"/>
    </row>
    <row r="840" spans="3:5">
      <c r="C840" s="1"/>
      <c r="E840" s="1"/>
    </row>
    <row r="841" spans="3:5">
      <c r="C841" s="1"/>
      <c r="E841" s="1"/>
    </row>
    <row r="842" spans="3:5">
      <c r="C842" s="1"/>
      <c r="E842" s="1"/>
    </row>
    <row r="843" spans="3:5">
      <c r="C843" s="1"/>
      <c r="E843" s="1"/>
    </row>
    <row r="844" spans="3:5">
      <c r="C844" s="1"/>
      <c r="E844" s="1"/>
    </row>
    <row r="845" spans="3:5">
      <c r="C845" s="1"/>
      <c r="E845" s="1"/>
    </row>
    <row r="846" spans="3:5">
      <c r="C846" s="1"/>
      <c r="E846" s="1"/>
    </row>
    <row r="847" spans="3:5">
      <c r="C847" s="1"/>
      <c r="E847" s="1"/>
    </row>
    <row r="848" spans="3:5">
      <c r="C848" s="1"/>
      <c r="E848" s="1"/>
    </row>
    <row r="849" spans="3:5">
      <c r="C849" s="1"/>
      <c r="E849" s="1"/>
    </row>
    <row r="850" spans="3:5">
      <c r="C850" s="1"/>
      <c r="E850" s="1"/>
    </row>
    <row r="851" spans="3:5">
      <c r="C851" s="1"/>
      <c r="E851" s="1"/>
    </row>
    <row r="852" spans="3:5">
      <c r="C852" s="1"/>
      <c r="E852" s="1"/>
    </row>
    <row r="853" spans="3:5">
      <c r="C853" s="1"/>
      <c r="E853" s="1"/>
    </row>
    <row r="854" spans="3:5">
      <c r="C854" s="1"/>
      <c r="E854" s="1"/>
    </row>
    <row r="855" spans="3:5">
      <c r="C855" s="1"/>
      <c r="E855" s="1"/>
    </row>
    <row r="856" spans="3:5">
      <c r="C856" s="1"/>
      <c r="E856" s="1"/>
    </row>
    <row r="857" spans="3:5">
      <c r="C857" s="1"/>
      <c r="E857" s="1"/>
    </row>
    <row r="858" spans="3:5">
      <c r="C858" s="1"/>
      <c r="E858" s="1"/>
    </row>
    <row r="859" spans="3:5">
      <c r="C859" s="1"/>
      <c r="E859" s="1"/>
    </row>
    <row r="860" spans="3:5">
      <c r="C860" s="1"/>
      <c r="E860" s="1"/>
    </row>
    <row r="861" spans="3:5">
      <c r="C861" s="1"/>
      <c r="E861" s="1"/>
    </row>
    <row r="862" spans="3:5">
      <c r="C862" s="1"/>
      <c r="E862" s="1"/>
    </row>
    <row r="863" spans="3:5">
      <c r="C863" s="1"/>
      <c r="E863" s="1"/>
    </row>
    <row r="864" spans="3:5">
      <c r="C864" s="1"/>
      <c r="E864" s="1"/>
    </row>
    <row r="865" spans="3:5">
      <c r="C865" s="1"/>
      <c r="E865" s="1"/>
    </row>
    <row r="866" spans="3:5">
      <c r="C866" s="1"/>
      <c r="E866" s="1"/>
    </row>
    <row r="867" spans="3:5">
      <c r="C867" s="1"/>
      <c r="E867" s="1"/>
    </row>
    <row r="868" spans="3:5">
      <c r="C868" s="1"/>
      <c r="E868" s="1"/>
    </row>
    <row r="869" spans="3:5">
      <c r="C869" s="1"/>
      <c r="E869" s="1"/>
    </row>
    <row r="870" spans="3:5">
      <c r="C870" s="1"/>
      <c r="E870" s="1"/>
    </row>
    <row r="871" spans="3:5">
      <c r="C871" s="1"/>
      <c r="E871" s="1"/>
    </row>
    <row r="872" spans="3:5">
      <c r="C872" s="1"/>
      <c r="E872" s="1"/>
    </row>
    <row r="873" spans="3:5">
      <c r="C873" s="1"/>
      <c r="E873" s="1"/>
    </row>
    <row r="874" spans="3:5">
      <c r="C874" s="1"/>
      <c r="E874" s="1"/>
    </row>
    <row r="875" spans="3:5">
      <c r="C875" s="1"/>
      <c r="E875" s="1"/>
    </row>
    <row r="876" spans="3:5">
      <c r="C876" s="1"/>
      <c r="E876" s="1"/>
    </row>
    <row r="877" spans="3:5">
      <c r="C877" s="1"/>
      <c r="E877" s="1"/>
    </row>
    <row r="878" spans="3:5">
      <c r="C878" s="1"/>
      <c r="E878" s="1"/>
    </row>
    <row r="879" spans="3:5">
      <c r="C879" s="1"/>
      <c r="E879" s="1"/>
    </row>
    <row r="880" spans="3:5">
      <c r="C880" s="1"/>
      <c r="E880" s="1"/>
    </row>
    <row r="881" spans="3:5">
      <c r="C881" s="1"/>
      <c r="E881" s="1"/>
    </row>
    <row r="882" spans="3:5">
      <c r="C882" s="1"/>
      <c r="E882" s="1"/>
    </row>
    <row r="883" spans="3:5">
      <c r="C883" s="1"/>
      <c r="E883" s="1"/>
    </row>
    <row r="884" spans="3:5">
      <c r="C884" s="1"/>
      <c r="E884" s="1"/>
    </row>
    <row r="885" spans="3:5">
      <c r="C885" s="1"/>
      <c r="E885" s="1"/>
    </row>
    <row r="886" spans="3:5">
      <c r="C886" s="1"/>
      <c r="E886" s="1"/>
    </row>
    <row r="887" spans="3:5">
      <c r="C887" s="1"/>
      <c r="E887" s="1"/>
    </row>
    <row r="888" spans="3:5">
      <c r="C888" s="1"/>
      <c r="E888" s="1"/>
    </row>
    <row r="889" spans="3:5">
      <c r="C889" s="1"/>
      <c r="E889" s="1"/>
    </row>
    <row r="890" spans="3:5">
      <c r="C890" s="1"/>
      <c r="E890" s="1"/>
    </row>
    <row r="891" spans="3:5">
      <c r="C891" s="1"/>
      <c r="E891" s="1"/>
    </row>
    <row r="892" spans="3:5">
      <c r="C892" s="1"/>
      <c r="E892" s="1"/>
    </row>
    <row r="893" spans="3:5">
      <c r="C893" s="1"/>
      <c r="E893" s="1"/>
    </row>
    <row r="894" spans="3:5">
      <c r="C894" s="1"/>
      <c r="E894" s="1"/>
    </row>
    <row r="895" spans="3:5">
      <c r="C895" s="1"/>
      <c r="E895" s="1"/>
    </row>
    <row r="896" spans="3:5">
      <c r="C896" s="1"/>
      <c r="E896" s="1"/>
    </row>
    <row r="897" spans="3:5">
      <c r="C897" s="1"/>
      <c r="E897" s="1"/>
    </row>
    <row r="898" spans="3:5">
      <c r="C898" s="1"/>
      <c r="E898" s="1"/>
    </row>
    <row r="899" spans="3:5">
      <c r="C899" s="1"/>
      <c r="E899" s="1"/>
    </row>
    <row r="900" spans="3:5">
      <c r="C900" s="1"/>
      <c r="E900" s="1"/>
    </row>
    <row r="901" spans="3:5">
      <c r="C901" s="1"/>
      <c r="E901" s="1"/>
    </row>
    <row r="902" spans="3:5">
      <c r="C902" s="1"/>
      <c r="E902" s="1"/>
    </row>
    <row r="903" spans="3:5">
      <c r="C903" s="1"/>
      <c r="E903" s="1"/>
    </row>
    <row r="904" spans="3:5">
      <c r="C904" s="1"/>
      <c r="E904" s="1"/>
    </row>
    <row r="905" spans="3:5">
      <c r="C905" s="1"/>
      <c r="E905" s="1"/>
    </row>
    <row r="906" spans="3:5">
      <c r="C906" s="1"/>
      <c r="E906" s="1"/>
    </row>
    <row r="907" spans="3:5">
      <c r="C907" s="1"/>
      <c r="E907" s="1"/>
    </row>
    <row r="908" spans="3:5">
      <c r="C908" s="1"/>
      <c r="E908" s="1"/>
    </row>
    <row r="909" spans="3:5">
      <c r="C909" s="1"/>
      <c r="E909" s="1"/>
    </row>
    <row r="910" spans="3:5">
      <c r="C910" s="1"/>
      <c r="E910" s="1"/>
    </row>
    <row r="911" spans="3:5">
      <c r="C911" s="1"/>
      <c r="E911" s="1"/>
    </row>
    <row r="912" spans="3:5">
      <c r="C912" s="1"/>
      <c r="E912" s="1"/>
    </row>
    <row r="913" spans="3:5">
      <c r="C913" s="1"/>
      <c r="E913" s="1"/>
    </row>
    <row r="914" spans="3:5">
      <c r="C914" s="1"/>
      <c r="E914" s="1"/>
    </row>
    <row r="915" spans="3:5">
      <c r="C915" s="1"/>
      <c r="E915" s="1"/>
    </row>
    <row r="916" spans="3:5">
      <c r="C916" s="1"/>
      <c r="E916" s="1"/>
    </row>
    <row r="917" spans="3:5">
      <c r="C917" s="1"/>
      <c r="E917" s="1"/>
    </row>
    <row r="918" spans="3:5">
      <c r="C918" s="1"/>
      <c r="E918" s="1"/>
    </row>
    <row r="919" spans="3:5">
      <c r="C919" s="1"/>
      <c r="E919" s="1"/>
    </row>
    <row r="920" spans="3:5">
      <c r="C920" s="1"/>
      <c r="E920" s="1"/>
    </row>
    <row r="921" spans="3:5">
      <c r="C921" s="1"/>
      <c r="E921" s="1"/>
    </row>
    <row r="922" spans="3:5">
      <c r="C922" s="1"/>
      <c r="E922" s="1"/>
    </row>
    <row r="923" spans="3:5">
      <c r="C923" s="1"/>
      <c r="E923" s="1"/>
    </row>
    <row r="924" spans="3:5">
      <c r="C924" s="1"/>
      <c r="E924" s="1"/>
    </row>
    <row r="925" spans="3:5">
      <c r="C925" s="1"/>
      <c r="E925" s="1"/>
    </row>
    <row r="926" spans="3:5">
      <c r="C926" s="1"/>
      <c r="E926" s="1"/>
    </row>
    <row r="927" spans="3:5">
      <c r="C927" s="1"/>
      <c r="E927" s="1"/>
    </row>
    <row r="928" spans="3:5">
      <c r="C928" s="1"/>
      <c r="E928" s="1"/>
    </row>
    <row r="929" spans="3:5">
      <c r="C929" s="1"/>
      <c r="E929" s="1"/>
    </row>
    <row r="930" spans="3:5">
      <c r="C930" s="1"/>
      <c r="E930" s="1"/>
    </row>
    <row r="931" spans="3:5">
      <c r="C931" s="1"/>
      <c r="E931" s="1"/>
    </row>
    <row r="932" spans="3:5">
      <c r="C932" s="1"/>
      <c r="E932" s="1"/>
    </row>
    <row r="933" spans="3:5">
      <c r="C933" s="1"/>
      <c r="E933" s="1"/>
    </row>
    <row r="934" spans="3:5">
      <c r="C934" s="1"/>
      <c r="E934" s="1"/>
    </row>
    <row r="935" spans="3:5">
      <c r="C935" s="1"/>
      <c r="E935" s="1"/>
    </row>
    <row r="936" spans="3:5">
      <c r="C936" s="1"/>
      <c r="E936" s="1"/>
    </row>
    <row r="937" spans="3:5">
      <c r="C937" s="1"/>
      <c r="E937" s="1"/>
    </row>
    <row r="938" spans="3:5">
      <c r="C938" s="1"/>
      <c r="E938" s="1"/>
    </row>
    <row r="939" spans="3:5">
      <c r="C939" s="1"/>
      <c r="E939" s="1"/>
    </row>
    <row r="940" spans="3:5">
      <c r="C940" s="1"/>
      <c r="E940" s="1"/>
    </row>
    <row r="941" spans="3:5">
      <c r="C941" s="1"/>
      <c r="E941" s="1"/>
    </row>
    <row r="942" spans="3:5">
      <c r="C942" s="1"/>
      <c r="E942" s="1"/>
    </row>
    <row r="943" spans="3:5">
      <c r="C943" s="1"/>
      <c r="E943" s="1"/>
    </row>
    <row r="944" spans="3:5">
      <c r="C944" s="1"/>
      <c r="E944" s="1"/>
    </row>
    <row r="945" spans="3:5">
      <c r="C945" s="1"/>
      <c r="E945" s="1"/>
    </row>
    <row r="946" spans="3:5">
      <c r="C946" s="1"/>
      <c r="E946" s="1"/>
    </row>
    <row r="947" spans="3:5">
      <c r="C947" s="1"/>
      <c r="E947" s="1"/>
    </row>
    <row r="948" spans="3:5">
      <c r="C948" s="1"/>
      <c r="E948" s="1"/>
    </row>
    <row r="949" spans="3:5">
      <c r="C949" s="1"/>
      <c r="E949" s="1"/>
    </row>
    <row r="950" spans="3:5">
      <c r="C950" s="1"/>
      <c r="E950" s="1"/>
    </row>
    <row r="951" spans="3:5">
      <c r="C951" s="1"/>
      <c r="E951" s="1"/>
    </row>
    <row r="952" spans="3:5">
      <c r="C952" s="1"/>
      <c r="E952" s="1"/>
    </row>
    <row r="953" spans="3:5">
      <c r="C953" s="1"/>
      <c r="E953" s="1"/>
    </row>
    <row r="954" spans="3:5">
      <c r="C954" s="1"/>
      <c r="E954" s="1"/>
    </row>
    <row r="955" spans="3:5">
      <c r="C955" s="1"/>
      <c r="E955" s="1"/>
    </row>
    <row r="956" spans="3:5">
      <c r="C956" s="1"/>
      <c r="E956" s="1"/>
    </row>
    <row r="957" spans="3:5">
      <c r="C957" s="1"/>
      <c r="E957" s="1"/>
    </row>
    <row r="958" spans="3:5">
      <c r="C958" s="1"/>
      <c r="E958" s="1"/>
    </row>
    <row r="959" spans="3:5">
      <c r="C959" s="1"/>
      <c r="E959" s="1"/>
    </row>
    <row r="960" spans="3:5">
      <c r="C960" s="1"/>
      <c r="E960" s="1"/>
    </row>
    <row r="961" spans="3:5">
      <c r="C961" s="1"/>
      <c r="E961" s="1"/>
    </row>
    <row r="962" spans="3:5">
      <c r="C962" s="1"/>
      <c r="E962" s="1"/>
    </row>
    <row r="963" spans="3:5">
      <c r="C963" s="1"/>
      <c r="E963" s="1"/>
    </row>
    <row r="964" spans="3:5">
      <c r="C964" s="1"/>
      <c r="E964" s="1"/>
    </row>
    <row r="965" spans="3:5">
      <c r="C965" s="1"/>
      <c r="E965" s="1"/>
    </row>
    <row r="966" spans="3:5">
      <c r="C966" s="1"/>
      <c r="E966" s="1"/>
    </row>
    <row r="967" spans="3:5">
      <c r="C967" s="1"/>
      <c r="E967" s="1"/>
    </row>
    <row r="968" spans="3:5">
      <c r="C968" s="1"/>
      <c r="E968" s="1"/>
    </row>
    <row r="969" spans="3:5">
      <c r="C969" s="1"/>
      <c r="E969" s="1"/>
    </row>
    <row r="970" spans="3:5">
      <c r="C970" s="1"/>
      <c r="E970" s="1"/>
    </row>
    <row r="971" spans="3:5">
      <c r="C971" s="1"/>
      <c r="E971" s="1"/>
    </row>
    <row r="972" spans="3:5">
      <c r="C972" s="1"/>
      <c r="E972" s="1"/>
    </row>
    <row r="973" spans="3:5">
      <c r="C973" s="1"/>
      <c r="E973" s="1"/>
    </row>
    <row r="974" spans="3:5">
      <c r="C974" s="1"/>
      <c r="E974" s="1"/>
    </row>
    <row r="975" spans="3:5">
      <c r="C975" s="1"/>
      <c r="E975" s="1"/>
    </row>
    <row r="976" spans="3:5">
      <c r="C976" s="1"/>
      <c r="E976" s="1"/>
    </row>
    <row r="977" spans="3:5">
      <c r="C977" s="1"/>
      <c r="E977" s="1"/>
    </row>
    <row r="978" spans="3:5">
      <c r="C978" s="1"/>
      <c r="E978" s="1"/>
    </row>
    <row r="979" spans="3:5">
      <c r="C979" s="1"/>
      <c r="E979" s="1"/>
    </row>
    <row r="980" spans="3:5">
      <c r="C980" s="1"/>
      <c r="E980" s="1"/>
    </row>
    <row r="981" spans="3:5">
      <c r="C981" s="1"/>
      <c r="E981" s="1"/>
    </row>
    <row r="982" spans="3:5">
      <c r="C982" s="1"/>
      <c r="E982" s="1"/>
    </row>
    <row r="983" spans="3:5">
      <c r="C983" s="1"/>
      <c r="E983" s="1"/>
    </row>
    <row r="984" spans="3:5">
      <c r="C984" s="1"/>
      <c r="E984" s="1"/>
    </row>
    <row r="985" spans="3:5">
      <c r="C985" s="1"/>
      <c r="E985" s="1"/>
    </row>
    <row r="986" spans="3:5">
      <c r="C986" s="1"/>
      <c r="E986" s="1"/>
    </row>
    <row r="987" spans="3:5">
      <c r="C987" s="1"/>
      <c r="E987" s="1"/>
    </row>
    <row r="988" spans="3:5">
      <c r="C988" s="1"/>
      <c r="E988" s="1"/>
    </row>
    <row r="989" spans="3:5">
      <c r="C989" s="1"/>
      <c r="E989" s="1"/>
    </row>
    <row r="990" spans="3:5">
      <c r="C990" s="1"/>
      <c r="E990" s="1"/>
    </row>
    <row r="991" spans="3:5">
      <c r="C991" s="1"/>
      <c r="E991" s="1"/>
    </row>
    <row r="992" spans="3:5">
      <c r="C992" s="1"/>
      <c r="E992" s="1"/>
    </row>
    <row r="993" spans="3:5">
      <c r="C993" s="1"/>
      <c r="E993" s="1"/>
    </row>
    <row r="994" spans="3:5">
      <c r="C994" s="1"/>
      <c r="E994" s="1"/>
    </row>
    <row r="995" spans="3:5">
      <c r="C995" s="1"/>
      <c r="E995" s="1"/>
    </row>
  </sheetData>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127"/>
  <sheetViews>
    <sheetView workbookViewId="0"/>
  </sheetViews>
  <sheetFormatPr baseColWidth="10" defaultColWidth="14.42578125" defaultRowHeight="15" customHeight="1"/>
  <cols>
    <col min="1" max="1" width="25.28515625" customWidth="1"/>
    <col min="2" max="2" width="38" customWidth="1"/>
    <col min="6" max="6" width="21.28515625" customWidth="1"/>
    <col min="7" max="7" width="18" customWidth="1"/>
  </cols>
  <sheetData>
    <row r="1" spans="1:9">
      <c r="A1" s="7" t="s">
        <v>146</v>
      </c>
      <c r="G1" s="28" t="s">
        <v>147</v>
      </c>
      <c r="H1" s="29"/>
      <c r="I1" s="30"/>
    </row>
    <row r="2" spans="1:9">
      <c r="A2" s="31" t="s">
        <v>148</v>
      </c>
      <c r="B2" s="7" t="s">
        <v>149</v>
      </c>
      <c r="G2" s="32"/>
      <c r="H2" s="118" t="s">
        <v>150</v>
      </c>
      <c r="I2" s="119"/>
    </row>
    <row r="3" spans="1:9">
      <c r="A3" s="33" t="s">
        <v>151</v>
      </c>
      <c r="B3" s="7" t="s">
        <v>152</v>
      </c>
      <c r="G3" s="34" t="s">
        <v>153</v>
      </c>
      <c r="H3" s="35">
        <v>1.57</v>
      </c>
      <c r="I3" s="36">
        <v>3.18</v>
      </c>
    </row>
    <row r="4" spans="1:9">
      <c r="A4" s="37" t="s">
        <v>154</v>
      </c>
      <c r="B4" s="7" t="s">
        <v>155</v>
      </c>
      <c r="G4" s="38">
        <v>2.5</v>
      </c>
      <c r="H4" s="39">
        <v>15.17</v>
      </c>
      <c r="I4" s="40" t="s">
        <v>156</v>
      </c>
    </row>
    <row r="5" spans="1:9">
      <c r="A5" s="41" t="s">
        <v>157</v>
      </c>
      <c r="B5" s="7" t="s">
        <v>158</v>
      </c>
      <c r="G5" s="42">
        <v>2.8</v>
      </c>
      <c r="H5" s="43">
        <v>12.6</v>
      </c>
      <c r="I5" s="44" t="s">
        <v>156</v>
      </c>
    </row>
    <row r="6" spans="1:9">
      <c r="G6" s="38">
        <v>3</v>
      </c>
      <c r="H6" s="39">
        <f>((H5-H7)/(G5-G7))*(G6-G7)+H7</f>
        <v>10.888571428571428</v>
      </c>
      <c r="I6" s="40">
        <f>((I7-I8)/(G7-G8))*(G6-G7)+I7</f>
        <v>2.7</v>
      </c>
    </row>
    <row r="7" spans="1:9">
      <c r="G7" s="42">
        <v>3.5</v>
      </c>
      <c r="H7" s="43">
        <v>6.61</v>
      </c>
      <c r="I7" s="44">
        <v>2.2000000000000002</v>
      </c>
    </row>
    <row r="8" spans="1:9">
      <c r="A8" s="45" t="s">
        <v>159</v>
      </c>
      <c r="B8" s="46" t="s">
        <v>160</v>
      </c>
      <c r="G8" s="47">
        <v>4.2</v>
      </c>
      <c r="H8" s="48">
        <v>4.5</v>
      </c>
      <c r="I8" s="49">
        <v>1.5</v>
      </c>
    </row>
    <row r="9" spans="1:9">
      <c r="A9" s="50" t="s">
        <v>161</v>
      </c>
      <c r="B9" s="51" t="s">
        <v>151</v>
      </c>
    </row>
    <row r="10" spans="1:9">
      <c r="A10" s="52" t="s">
        <v>162</v>
      </c>
      <c r="B10" s="53" t="s">
        <v>163</v>
      </c>
    </row>
    <row r="11" spans="1:9">
      <c r="A11" s="52" t="s">
        <v>14</v>
      </c>
      <c r="B11" s="54">
        <v>7.762E-4</v>
      </c>
    </row>
    <row r="12" spans="1:9">
      <c r="A12" s="52" t="s">
        <v>164</v>
      </c>
      <c r="B12" s="53">
        <v>1</v>
      </c>
    </row>
    <row r="13" spans="1:9">
      <c r="A13" s="52" t="s">
        <v>165</v>
      </c>
      <c r="B13" s="53" t="s">
        <v>166</v>
      </c>
    </row>
    <row r="14" spans="1:9">
      <c r="A14" s="52" t="s">
        <v>167</v>
      </c>
      <c r="B14" s="53" t="s">
        <v>168</v>
      </c>
    </row>
    <row r="15" spans="1:9">
      <c r="A15" s="52" t="s">
        <v>169</v>
      </c>
      <c r="B15" s="53">
        <v>3.18</v>
      </c>
    </row>
    <row r="16" spans="1:9">
      <c r="A16" s="52" t="s">
        <v>170</v>
      </c>
      <c r="B16" s="55">
        <v>2.7</v>
      </c>
    </row>
    <row r="17" spans="1:2">
      <c r="A17" s="56" t="s">
        <v>171</v>
      </c>
      <c r="B17" s="57">
        <f>1/B16</f>
        <v>0.37037037037037035</v>
      </c>
    </row>
    <row r="18" spans="1:2">
      <c r="A18" s="58" t="s">
        <v>172</v>
      </c>
      <c r="B18" s="59">
        <f>B12*B17</f>
        <v>0.37037037037037035</v>
      </c>
    </row>
    <row r="20" spans="1:2">
      <c r="A20" s="45" t="s">
        <v>173</v>
      </c>
      <c r="B20" s="46" t="s">
        <v>174</v>
      </c>
    </row>
    <row r="21" spans="1:2">
      <c r="A21" s="60" t="s">
        <v>161</v>
      </c>
      <c r="B21" s="61" t="s">
        <v>154</v>
      </c>
    </row>
    <row r="22" spans="1:2">
      <c r="A22" s="52" t="s">
        <v>162</v>
      </c>
      <c r="B22" s="53" t="s">
        <v>175</v>
      </c>
    </row>
    <row r="23" spans="1:2">
      <c r="A23" s="52" t="s">
        <v>14</v>
      </c>
      <c r="B23" s="54">
        <v>4.8523999999999998E-3</v>
      </c>
    </row>
    <row r="24" spans="1:2">
      <c r="A24" s="52" t="s">
        <v>176</v>
      </c>
      <c r="B24" s="55">
        <v>50</v>
      </c>
    </row>
    <row r="25" spans="1:2">
      <c r="A25" s="62" t="s">
        <v>172</v>
      </c>
      <c r="B25" s="63">
        <f>B24*B23</f>
        <v>0.24262</v>
      </c>
    </row>
    <row r="27" spans="1:2">
      <c r="A27" s="45" t="s">
        <v>177</v>
      </c>
      <c r="B27" s="46" t="s">
        <v>178</v>
      </c>
    </row>
    <row r="28" spans="1:2">
      <c r="A28" s="50" t="s">
        <v>161</v>
      </c>
      <c r="B28" s="51" t="s">
        <v>151</v>
      </c>
    </row>
    <row r="29" spans="1:2">
      <c r="A29" s="52" t="s">
        <v>162</v>
      </c>
      <c r="B29" s="53" t="s">
        <v>179</v>
      </c>
    </row>
    <row r="30" spans="1:2">
      <c r="A30" s="52" t="s">
        <v>14</v>
      </c>
      <c r="B30" s="54">
        <v>1.302E-2</v>
      </c>
    </row>
    <row r="31" spans="1:2">
      <c r="A31" s="52" t="s">
        <v>164</v>
      </c>
      <c r="B31" s="53">
        <v>4</v>
      </c>
    </row>
    <row r="32" spans="1:2">
      <c r="A32" s="52" t="s">
        <v>165</v>
      </c>
      <c r="B32" s="53" t="s">
        <v>166</v>
      </c>
    </row>
    <row r="33" spans="1:6">
      <c r="A33" s="52" t="s">
        <v>167</v>
      </c>
      <c r="B33" s="53" t="s">
        <v>180</v>
      </c>
    </row>
    <row r="34" spans="1:6">
      <c r="A34" s="52" t="s">
        <v>169</v>
      </c>
      <c r="B34" s="53">
        <v>1.57</v>
      </c>
    </row>
    <row r="35" spans="1:6">
      <c r="A35" s="52" t="s">
        <v>170</v>
      </c>
      <c r="B35" s="55">
        <v>10.89</v>
      </c>
    </row>
    <row r="36" spans="1:6">
      <c r="A36" s="7" t="s">
        <v>171</v>
      </c>
      <c r="B36" s="64">
        <f>1/B35</f>
        <v>9.1827364554637275E-2</v>
      </c>
    </row>
    <row r="37" spans="1:6">
      <c r="A37" s="58" t="s">
        <v>172</v>
      </c>
      <c r="B37" s="59">
        <f>B31*B36</f>
        <v>0.3673094582185491</v>
      </c>
    </row>
    <row r="38" spans="1:6">
      <c r="F38" s="7" t="s">
        <v>181</v>
      </c>
    </row>
    <row r="39" spans="1:6">
      <c r="A39" s="45" t="s">
        <v>182</v>
      </c>
      <c r="B39" s="46" t="s">
        <v>183</v>
      </c>
    </row>
    <row r="40" spans="1:6">
      <c r="A40" s="50" t="s">
        <v>161</v>
      </c>
      <c r="B40" s="51" t="s">
        <v>151</v>
      </c>
    </row>
    <row r="41" spans="1:6">
      <c r="A41" s="52" t="s">
        <v>162</v>
      </c>
      <c r="B41" s="53" t="s">
        <v>184</v>
      </c>
    </row>
    <row r="42" spans="1:6">
      <c r="A42" s="52" t="s">
        <v>14</v>
      </c>
      <c r="B42" s="54">
        <v>3.9569999999999996E-3</v>
      </c>
    </row>
    <row r="43" spans="1:6">
      <c r="A43" s="52" t="s">
        <v>164</v>
      </c>
      <c r="B43" s="53">
        <v>2</v>
      </c>
    </row>
    <row r="44" spans="1:6">
      <c r="A44" s="52" t="s">
        <v>165</v>
      </c>
      <c r="B44" s="53" t="s">
        <v>166</v>
      </c>
    </row>
    <row r="45" spans="1:6">
      <c r="A45" s="52" t="s">
        <v>167</v>
      </c>
      <c r="B45" s="53" t="s">
        <v>185</v>
      </c>
    </row>
    <row r="46" spans="1:6">
      <c r="A46" s="52" t="s">
        <v>169</v>
      </c>
      <c r="B46" s="53">
        <v>1.57</v>
      </c>
    </row>
    <row r="47" spans="1:6">
      <c r="A47" s="52" t="s">
        <v>170</v>
      </c>
      <c r="B47" s="55">
        <v>10.89</v>
      </c>
    </row>
    <row r="48" spans="1:6">
      <c r="A48" s="7" t="s">
        <v>171</v>
      </c>
      <c r="B48" s="64">
        <f>1/B47</f>
        <v>9.1827364554637275E-2</v>
      </c>
    </row>
    <row r="49" spans="1:2">
      <c r="A49" s="58" t="s">
        <v>172</v>
      </c>
      <c r="B49" s="59">
        <f>B43*B48</f>
        <v>0.18365472910927455</v>
      </c>
    </row>
    <row r="51" spans="1:2">
      <c r="A51" s="45" t="s">
        <v>186</v>
      </c>
      <c r="B51" s="46" t="s">
        <v>187</v>
      </c>
    </row>
    <row r="52" spans="1:2">
      <c r="A52" s="50" t="s">
        <v>161</v>
      </c>
      <c r="B52" s="51" t="s">
        <v>151</v>
      </c>
    </row>
    <row r="53" spans="1:2">
      <c r="A53" s="52" t="s">
        <v>162</v>
      </c>
      <c r="B53" s="53" t="s">
        <v>188</v>
      </c>
    </row>
    <row r="54" spans="1:2">
      <c r="A54" s="52" t="s">
        <v>14</v>
      </c>
      <c r="B54" s="54">
        <v>1.6140000000000002E-2</v>
      </c>
    </row>
    <row r="55" spans="1:2">
      <c r="A55" s="52" t="s">
        <v>164</v>
      </c>
      <c r="B55" s="53">
        <v>2</v>
      </c>
    </row>
    <row r="56" spans="1:2">
      <c r="A56" s="52" t="s">
        <v>165</v>
      </c>
      <c r="B56" s="53" t="s">
        <v>166</v>
      </c>
    </row>
    <row r="57" spans="1:2">
      <c r="A57" s="52" t="s">
        <v>167</v>
      </c>
      <c r="B57" s="53" t="s">
        <v>185</v>
      </c>
    </row>
    <row r="58" spans="1:2">
      <c r="A58" s="52" t="s">
        <v>169</v>
      </c>
      <c r="B58" s="53">
        <v>1.57</v>
      </c>
    </row>
    <row r="59" spans="1:2">
      <c r="A59" s="52" t="s">
        <v>170</v>
      </c>
      <c r="B59" s="55">
        <v>10.89</v>
      </c>
    </row>
    <row r="60" spans="1:2">
      <c r="A60" s="7" t="s">
        <v>171</v>
      </c>
      <c r="B60" s="57">
        <f>1/B59</f>
        <v>9.1827364554637275E-2</v>
      </c>
    </row>
    <row r="61" spans="1:2">
      <c r="A61" s="58" t="s">
        <v>172</v>
      </c>
      <c r="B61" s="59">
        <f>B55*B60</f>
        <v>0.18365472910927455</v>
      </c>
    </row>
    <row r="63" spans="1:2">
      <c r="A63" s="45" t="s">
        <v>189</v>
      </c>
      <c r="B63" s="46" t="s">
        <v>190</v>
      </c>
    </row>
    <row r="64" spans="1:2">
      <c r="A64" s="50" t="s">
        <v>161</v>
      </c>
      <c r="B64" s="51" t="s">
        <v>151</v>
      </c>
    </row>
    <row r="65" spans="1:2">
      <c r="A65" s="52" t="s">
        <v>162</v>
      </c>
      <c r="B65" s="53" t="s">
        <v>191</v>
      </c>
    </row>
    <row r="66" spans="1:2">
      <c r="A66" s="52" t="s">
        <v>14</v>
      </c>
      <c r="B66" s="54" t="s">
        <v>192</v>
      </c>
    </row>
    <row r="67" spans="1:2">
      <c r="A67" s="52" t="s">
        <v>164</v>
      </c>
      <c r="B67" s="53">
        <v>4</v>
      </c>
    </row>
    <row r="68" spans="1:2">
      <c r="A68" s="52" t="s">
        <v>165</v>
      </c>
      <c r="B68" s="53" t="s">
        <v>193</v>
      </c>
    </row>
    <row r="69" spans="1:2">
      <c r="A69" s="52" t="s">
        <v>167</v>
      </c>
      <c r="B69" s="53" t="s">
        <v>180</v>
      </c>
    </row>
    <row r="70" spans="1:2">
      <c r="A70" s="52" t="s">
        <v>169</v>
      </c>
      <c r="B70" s="53">
        <v>1.57</v>
      </c>
    </row>
    <row r="71" spans="1:2">
      <c r="A71" s="52" t="s">
        <v>170</v>
      </c>
      <c r="B71" s="55">
        <v>15.17</v>
      </c>
    </row>
    <row r="72" spans="1:2">
      <c r="A72" s="7" t="s">
        <v>171</v>
      </c>
      <c r="B72" s="57">
        <f>1/B71</f>
        <v>6.5919578114700061E-2</v>
      </c>
    </row>
    <row r="73" spans="1:2">
      <c r="A73" s="58" t="s">
        <v>172</v>
      </c>
      <c r="B73" s="59">
        <f>B67*B72</f>
        <v>0.26367831245880025</v>
      </c>
    </row>
    <row r="75" spans="1:2">
      <c r="A75" s="65" t="s">
        <v>194</v>
      </c>
      <c r="B75" s="66" t="s">
        <v>195</v>
      </c>
    </row>
    <row r="76" spans="1:2">
      <c r="A76" s="67" t="s">
        <v>161</v>
      </c>
      <c r="B76" s="68" t="s">
        <v>148</v>
      </c>
    </row>
    <row r="77" spans="1:2">
      <c r="A77" s="52" t="s">
        <v>162</v>
      </c>
      <c r="B77" s="53" t="s">
        <v>196</v>
      </c>
    </row>
    <row r="78" spans="1:2">
      <c r="A78" s="52" t="s">
        <v>14</v>
      </c>
      <c r="B78" s="54">
        <v>5.4999999999999997E-3</v>
      </c>
    </row>
    <row r="79" spans="1:2">
      <c r="A79" s="52" t="s">
        <v>164</v>
      </c>
      <c r="B79" s="53">
        <v>2</v>
      </c>
    </row>
    <row r="80" spans="1:2">
      <c r="A80" s="52" t="s">
        <v>165</v>
      </c>
      <c r="B80" s="53" t="s">
        <v>166</v>
      </c>
    </row>
    <row r="81" spans="1:2">
      <c r="A81" s="52" t="s">
        <v>167</v>
      </c>
      <c r="B81" s="53" t="s">
        <v>197</v>
      </c>
    </row>
    <row r="82" spans="1:2">
      <c r="A82" s="52" t="s">
        <v>169</v>
      </c>
      <c r="B82" s="53">
        <v>1.57</v>
      </c>
    </row>
    <row r="83" spans="1:2">
      <c r="A83" s="52" t="s">
        <v>170</v>
      </c>
      <c r="B83" s="55">
        <v>10.89</v>
      </c>
    </row>
    <row r="84" spans="1:2">
      <c r="A84" s="7" t="s">
        <v>171</v>
      </c>
      <c r="B84" s="53">
        <f>1/B83</f>
        <v>9.1827364554637275E-2</v>
      </c>
    </row>
    <row r="85" spans="1:2">
      <c r="A85" s="52" t="s">
        <v>198</v>
      </c>
      <c r="B85" s="55">
        <v>1000</v>
      </c>
    </row>
    <row r="86" spans="1:2">
      <c r="A86" s="58" t="s">
        <v>172</v>
      </c>
      <c r="B86" s="59">
        <f>B79*B84+B85*B78</f>
        <v>5.6836547291092749</v>
      </c>
    </row>
    <row r="88" spans="1:2">
      <c r="A88" s="45" t="s">
        <v>199</v>
      </c>
      <c r="B88" s="46" t="s">
        <v>200</v>
      </c>
    </row>
    <row r="89" spans="1:2">
      <c r="A89" s="50" t="s">
        <v>161</v>
      </c>
      <c r="B89" s="51" t="s">
        <v>151</v>
      </c>
    </row>
    <row r="90" spans="1:2">
      <c r="A90" s="52" t="s">
        <v>162</v>
      </c>
      <c r="B90" s="53" t="s">
        <v>201</v>
      </c>
    </row>
    <row r="91" spans="1:2">
      <c r="A91" s="52" t="s">
        <v>164</v>
      </c>
      <c r="B91" s="53">
        <v>4</v>
      </c>
    </row>
    <row r="92" spans="1:2">
      <c r="A92" s="52" t="s">
        <v>165</v>
      </c>
      <c r="B92" s="53" t="s">
        <v>166</v>
      </c>
    </row>
    <row r="93" spans="1:2">
      <c r="A93" s="52" t="s">
        <v>167</v>
      </c>
      <c r="B93" s="53">
        <v>1.57</v>
      </c>
    </row>
    <row r="94" spans="1:2">
      <c r="A94" s="52" t="s">
        <v>169</v>
      </c>
      <c r="B94" s="53">
        <v>1.57</v>
      </c>
    </row>
    <row r="95" spans="1:2">
      <c r="A95" s="52" t="s">
        <v>170</v>
      </c>
      <c r="B95" s="55">
        <v>10.89</v>
      </c>
    </row>
    <row r="96" spans="1:2">
      <c r="A96" s="7" t="s">
        <v>171</v>
      </c>
      <c r="B96" s="57">
        <f>1/B95</f>
        <v>9.1827364554637275E-2</v>
      </c>
    </row>
    <row r="97" spans="1:2">
      <c r="A97" s="58" t="s">
        <v>172</v>
      </c>
      <c r="B97" s="59">
        <f>B91*B96</f>
        <v>0.3673094582185491</v>
      </c>
    </row>
    <row r="99" spans="1:2">
      <c r="A99" s="45" t="s">
        <v>202</v>
      </c>
      <c r="B99" s="46" t="s">
        <v>203</v>
      </c>
    </row>
    <row r="100" spans="1:2">
      <c r="A100" s="50" t="s">
        <v>161</v>
      </c>
      <c r="B100" s="51" t="s">
        <v>151</v>
      </c>
    </row>
    <row r="101" spans="1:2">
      <c r="A101" s="52" t="s">
        <v>162</v>
      </c>
      <c r="B101" s="53" t="s">
        <v>204</v>
      </c>
    </row>
    <row r="102" spans="1:2">
      <c r="A102" s="52" t="s">
        <v>164</v>
      </c>
      <c r="B102" s="53">
        <v>2</v>
      </c>
    </row>
    <row r="103" spans="1:2">
      <c r="A103" s="52" t="s">
        <v>165</v>
      </c>
      <c r="B103" s="53" t="s">
        <v>166</v>
      </c>
    </row>
    <row r="104" spans="1:2">
      <c r="A104" s="52" t="s">
        <v>167</v>
      </c>
      <c r="B104" s="53" t="s">
        <v>205</v>
      </c>
    </row>
    <row r="105" spans="1:2">
      <c r="A105" s="52" t="s">
        <v>169</v>
      </c>
      <c r="B105" s="53">
        <v>1.57</v>
      </c>
    </row>
    <row r="106" spans="1:2">
      <c r="A106" s="52" t="s">
        <v>170</v>
      </c>
      <c r="B106" s="55">
        <v>10.89</v>
      </c>
    </row>
    <row r="107" spans="1:2">
      <c r="A107" s="7" t="s">
        <v>171</v>
      </c>
      <c r="B107" s="57">
        <f>1/B106</f>
        <v>9.1827364554637275E-2</v>
      </c>
    </row>
    <row r="108" spans="1:2">
      <c r="A108" s="58" t="s">
        <v>172</v>
      </c>
      <c r="B108" s="59">
        <f>B102*B107</f>
        <v>0.18365472910927455</v>
      </c>
    </row>
    <row r="110" spans="1:2">
      <c r="A110" s="65" t="s">
        <v>206</v>
      </c>
      <c r="B110" s="66" t="s">
        <v>207</v>
      </c>
    </row>
    <row r="111" spans="1:2">
      <c r="A111" s="69" t="s">
        <v>161</v>
      </c>
      <c r="B111" s="70" t="s">
        <v>157</v>
      </c>
    </row>
    <row r="112" spans="1:2">
      <c r="A112" s="52" t="s">
        <v>162</v>
      </c>
      <c r="B112" s="53" t="s">
        <v>208</v>
      </c>
    </row>
    <row r="113" spans="1:2">
      <c r="A113" s="52" t="s">
        <v>14</v>
      </c>
      <c r="B113" s="54">
        <v>3.7569999999999999E-2</v>
      </c>
    </row>
    <row r="114" spans="1:2">
      <c r="A114" s="52" t="s">
        <v>198</v>
      </c>
      <c r="B114" s="55">
        <v>1000</v>
      </c>
    </row>
    <row r="115" spans="1:2">
      <c r="A115" s="58" t="s">
        <v>172</v>
      </c>
      <c r="B115" s="59">
        <f>B114*B113</f>
        <v>37.57</v>
      </c>
    </row>
    <row r="117" spans="1:2">
      <c r="A117" s="45" t="s">
        <v>209</v>
      </c>
      <c r="B117" s="46" t="s">
        <v>210</v>
      </c>
    </row>
    <row r="118" spans="1:2">
      <c r="A118" s="50" t="s">
        <v>161</v>
      </c>
      <c r="B118" s="51" t="s">
        <v>151</v>
      </c>
    </row>
    <row r="119" spans="1:2">
      <c r="A119" s="52" t="s">
        <v>162</v>
      </c>
      <c r="B119" s="53" t="s">
        <v>211</v>
      </c>
    </row>
    <row r="120" spans="1:2">
      <c r="A120" s="52" t="s">
        <v>14</v>
      </c>
      <c r="B120" s="54" t="s">
        <v>192</v>
      </c>
    </row>
    <row r="121" spans="1:2">
      <c r="A121" s="52" t="s">
        <v>164</v>
      </c>
      <c r="B121" s="53">
        <v>4</v>
      </c>
    </row>
    <row r="122" spans="1:2">
      <c r="A122" s="52" t="s">
        <v>165</v>
      </c>
      <c r="B122" s="53" t="s">
        <v>166</v>
      </c>
    </row>
    <row r="123" spans="1:2">
      <c r="A123" s="52" t="s">
        <v>167</v>
      </c>
      <c r="B123" s="53" t="s">
        <v>212</v>
      </c>
    </row>
    <row r="124" spans="1:2">
      <c r="A124" s="52" t="s">
        <v>169</v>
      </c>
      <c r="B124" s="53">
        <v>1.57</v>
      </c>
    </row>
    <row r="125" spans="1:2">
      <c r="A125" s="52" t="s">
        <v>170</v>
      </c>
      <c r="B125" s="55">
        <v>10.89</v>
      </c>
    </row>
    <row r="126" spans="1:2">
      <c r="A126" s="56" t="s">
        <v>171</v>
      </c>
      <c r="B126" s="57">
        <f>1/B125</f>
        <v>9.1827364554637275E-2</v>
      </c>
    </row>
    <row r="127" spans="1:2">
      <c r="A127" s="58" t="s">
        <v>172</v>
      </c>
      <c r="B127" s="59">
        <f>B121*B126</f>
        <v>0.3673094582185491</v>
      </c>
    </row>
  </sheetData>
  <mergeCells count="1">
    <mergeCell ref="H2:I2"/>
  </mergeCells>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F58F4-2122-4D7A-8536-BCD5250BA286}">
  <dimension ref="B1:F3"/>
  <sheetViews>
    <sheetView tabSelected="1" workbookViewId="0">
      <selection activeCell="E11" sqref="E11"/>
    </sheetView>
  </sheetViews>
  <sheetFormatPr baseColWidth="10" defaultRowHeight="15"/>
  <cols>
    <col min="2" max="2" width="14.85546875" customWidth="1"/>
    <col min="3" max="3" width="15.85546875" customWidth="1"/>
    <col min="4" max="4" width="15.140625" customWidth="1"/>
    <col min="5" max="5" width="16.140625" customWidth="1"/>
    <col min="6" max="6" width="16.28515625" customWidth="1"/>
  </cols>
  <sheetData>
    <row r="1" spans="2:6" ht="15.75" thickBot="1"/>
    <row r="2" spans="2:6" ht="45">
      <c r="B2" s="146" t="s">
        <v>266</v>
      </c>
      <c r="C2" s="147" t="s">
        <v>267</v>
      </c>
      <c r="D2" s="147" t="s">
        <v>265</v>
      </c>
      <c r="E2" s="147" t="s">
        <v>264</v>
      </c>
      <c r="F2" s="148" t="s">
        <v>263</v>
      </c>
    </row>
    <row r="3" spans="2:6" ht="15.75" thickBot="1">
      <c r="B3" s="136">
        <v>1</v>
      </c>
      <c r="C3" s="85">
        <v>1</v>
      </c>
      <c r="D3" s="85">
        <v>0</v>
      </c>
      <c r="E3" s="85">
        <v>0</v>
      </c>
      <c r="F3" s="137">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3E147-5D28-48F2-9A19-B61306348D73}">
  <dimension ref="A1:N37"/>
  <sheetViews>
    <sheetView workbookViewId="0">
      <selection activeCell="B2" sqref="B2"/>
    </sheetView>
  </sheetViews>
  <sheetFormatPr baseColWidth="10" defaultRowHeight="15"/>
  <cols>
    <col min="2" max="2" width="32" bestFit="1" customWidth="1"/>
  </cols>
  <sheetData>
    <row r="1" spans="1:14" ht="15.75" thickBot="1"/>
    <row r="2" spans="1:14" ht="15.75" thickBot="1">
      <c r="B2" s="141" t="s">
        <v>257</v>
      </c>
      <c r="C2" s="87" t="s">
        <v>260</v>
      </c>
      <c r="D2" s="86" t="s">
        <v>258</v>
      </c>
      <c r="E2" s="125" t="s">
        <v>260</v>
      </c>
      <c r="F2" s="93" t="s">
        <v>259</v>
      </c>
      <c r="G2" s="126"/>
    </row>
    <row r="3" spans="1:14">
      <c r="B3" s="89" t="s">
        <v>253</v>
      </c>
      <c r="C3" s="91">
        <f>C4+C5*60+C6*3600+C7*3600*24</f>
        <v>3600</v>
      </c>
      <c r="D3" s="92">
        <f>C3+D4+D5*60+D6*3600+D7*3600*24</f>
        <v>3720</v>
      </c>
      <c r="E3" s="92">
        <f t="shared" ref="E3" si="0">D3+E4+E5*60+E6*3600+E7*3600*24</f>
        <v>10920</v>
      </c>
      <c r="F3" s="94">
        <f>E3+F4+F5*60+F6*3600+F7*3600*24</f>
        <v>18120</v>
      </c>
      <c r="G3" s="96"/>
      <c r="H3" s="81"/>
      <c r="I3" s="81"/>
      <c r="J3" s="81"/>
      <c r="K3" s="81"/>
      <c r="L3" s="81"/>
      <c r="M3" s="81"/>
      <c r="N3" s="81"/>
    </row>
    <row r="4" spans="1:14">
      <c r="B4" s="90" t="s">
        <v>256</v>
      </c>
      <c r="C4" s="88"/>
      <c r="D4" s="84"/>
      <c r="E4" s="83"/>
      <c r="F4" s="95"/>
      <c r="G4" s="96"/>
    </row>
    <row r="5" spans="1:14">
      <c r="B5" s="90" t="s">
        <v>255</v>
      </c>
      <c r="C5" s="88"/>
      <c r="D5" s="84">
        <v>2</v>
      </c>
      <c r="E5" s="83"/>
      <c r="F5" s="95">
        <v>0</v>
      </c>
      <c r="G5" s="96"/>
    </row>
    <row r="6" spans="1:14">
      <c r="B6" s="90" t="s">
        <v>254</v>
      </c>
      <c r="C6" s="88">
        <v>1</v>
      </c>
      <c r="D6" s="84"/>
      <c r="E6" s="83">
        <v>2</v>
      </c>
      <c r="F6" s="95">
        <v>2</v>
      </c>
      <c r="G6" s="96"/>
    </row>
    <row r="7" spans="1:14">
      <c r="B7" s="120" t="s">
        <v>261</v>
      </c>
      <c r="C7" s="121"/>
      <c r="D7" s="122"/>
      <c r="E7" s="123"/>
      <c r="F7" s="124"/>
      <c r="G7" s="96"/>
    </row>
    <row r="8" spans="1:14">
      <c r="A8" s="82">
        <v>1</v>
      </c>
      <c r="B8" s="97" t="str">
        <f>HLOOKUP(B$2,Modes!$B$2:$E$31,$A8+1)</f>
        <v>Frame 1, +X</v>
      </c>
      <c r="C8" s="98">
        <f>HLOOKUP(C$2,Modes!$B$2:$O$31,$A8+1,FALSE)</f>
        <v>0</v>
      </c>
      <c r="D8" s="99">
        <f>HLOOKUP(D$2,Modes!$B$2:$O$31,$A8+1,FALSE)</f>
        <v>0</v>
      </c>
      <c r="E8" s="99">
        <f>HLOOKUP(E$2,Modes!$B$2:$O$31,$A8+1,FALSE)</f>
        <v>0</v>
      </c>
      <c r="F8" s="100">
        <f>HLOOKUP(F$2,Modes!$B$2:$O$31,$A8+1,FALSE)</f>
        <v>0</v>
      </c>
      <c r="G8" s="100"/>
      <c r="H8" s="100"/>
      <c r="I8" s="100"/>
      <c r="J8" s="100"/>
      <c r="K8" s="100"/>
    </row>
    <row r="9" spans="1:14">
      <c r="A9" s="82">
        <v>2</v>
      </c>
      <c r="B9" s="97" t="str">
        <f>HLOOKUP(B$2,Modes!$B$2:$E$31,$A9+1)</f>
        <v>Frame 2, -X</v>
      </c>
      <c r="C9" s="98">
        <f>HLOOKUP(C$2,Modes!$B$2:$O$31,$A9+1,FALSE)</f>
        <v>0</v>
      </c>
      <c r="D9" s="99">
        <f>HLOOKUP(D$2,Modes!$B$2:$O$31,$A9+1,FALSE)</f>
        <v>0</v>
      </c>
      <c r="E9" s="99">
        <f>HLOOKUP(E$2,Modes!$B$2:$O$31,$A9+1,FALSE)</f>
        <v>0</v>
      </c>
      <c r="F9" s="100">
        <f>HLOOKUP(F$2,Modes!$B$2:$O$31,$A9+1,FALSE)</f>
        <v>0</v>
      </c>
      <c r="G9" s="100"/>
      <c r="H9" s="100"/>
      <c r="I9" s="100"/>
      <c r="J9" s="100"/>
      <c r="K9" s="100"/>
    </row>
    <row r="10" spans="1:14">
      <c r="A10" s="82">
        <v>3</v>
      </c>
      <c r="B10" s="97" t="str">
        <f>HLOOKUP(B$2,Modes!$B$2:$E$31,$A10+1)</f>
        <v>Beam -Y +Z</v>
      </c>
      <c r="C10" s="98">
        <f>HLOOKUP(C$2,Modes!$B$2:$O$31,$A10+1,FALSE)</f>
        <v>0</v>
      </c>
      <c r="D10" s="99">
        <f>HLOOKUP(D$2,Modes!$B$2:$O$31,$A10+1,FALSE)</f>
        <v>0</v>
      </c>
      <c r="E10" s="99">
        <f>HLOOKUP(E$2,Modes!$B$2:$O$31,$A10+1,FALSE)</f>
        <v>0</v>
      </c>
      <c r="F10" s="100">
        <f>HLOOKUP(F$2,Modes!$B$2:$O$31,$A10+1,FALSE)</f>
        <v>0</v>
      </c>
      <c r="G10" s="100"/>
      <c r="H10" s="100"/>
      <c r="I10" s="100"/>
      <c r="J10" s="100"/>
      <c r="K10" s="100"/>
    </row>
    <row r="11" spans="1:14">
      <c r="A11" s="82">
        <v>4</v>
      </c>
      <c r="B11" s="97" t="str">
        <f>HLOOKUP(B$2,Modes!$B$2:$E$31,$A11+1)</f>
        <v>Beam +Y +Z</v>
      </c>
      <c r="C11" s="98">
        <f>HLOOKUP(C$2,Modes!$B$2:$O$31,$A11+1,FALSE)</f>
        <v>0</v>
      </c>
      <c r="D11" s="99">
        <f>HLOOKUP(D$2,Modes!$B$2:$O$31,$A11+1,FALSE)</f>
        <v>0</v>
      </c>
      <c r="E11" s="99">
        <f>HLOOKUP(E$2,Modes!$B$2:$O$31,$A11+1,FALSE)</f>
        <v>0</v>
      </c>
      <c r="F11" s="100">
        <f>HLOOKUP(F$2,Modes!$B$2:$O$31,$A11+1,FALSE)</f>
        <v>0</v>
      </c>
      <c r="G11" s="100"/>
      <c r="H11" s="100"/>
      <c r="I11" s="100"/>
      <c r="J11" s="100"/>
      <c r="K11" s="100"/>
    </row>
    <row r="12" spans="1:14">
      <c r="A12" s="82">
        <v>5</v>
      </c>
      <c r="B12" s="97" t="str">
        <f>HLOOKUP(B$2,Modes!$B$2:$E$31,$A12+1)</f>
        <v>Beam +Y -Z</v>
      </c>
      <c r="C12" s="98">
        <f>HLOOKUP(C$2,Modes!$B$2:$O$31,$A12+1,FALSE)</f>
        <v>0</v>
      </c>
      <c r="D12" s="99">
        <f>HLOOKUP(D$2,Modes!$B$2:$O$31,$A12+1,FALSE)</f>
        <v>0</v>
      </c>
      <c r="E12" s="99">
        <f>HLOOKUP(E$2,Modes!$B$2:$O$31,$A12+1,FALSE)</f>
        <v>0</v>
      </c>
      <c r="F12" s="100">
        <f>HLOOKUP(F$2,Modes!$B$2:$O$31,$A12+1,FALSE)</f>
        <v>0</v>
      </c>
      <c r="G12" s="100"/>
      <c r="H12" s="100"/>
      <c r="I12" s="100"/>
      <c r="J12" s="100"/>
      <c r="K12" s="100"/>
    </row>
    <row r="13" spans="1:14">
      <c r="A13" s="82">
        <v>6</v>
      </c>
      <c r="B13" s="97" t="str">
        <f>HLOOKUP(B$2,Modes!$B$2:$E$31,$A13+1)</f>
        <v>Beam -Y -Z</v>
      </c>
      <c r="C13" s="98">
        <f>HLOOKUP(C$2,Modes!$B$2:$O$31,$A13+1,FALSE)</f>
        <v>0</v>
      </c>
      <c r="D13" s="99">
        <f>HLOOKUP(D$2,Modes!$B$2:$O$31,$A13+1,FALSE)</f>
        <v>0</v>
      </c>
      <c r="E13" s="99">
        <f>HLOOKUP(E$2,Modes!$B$2:$O$31,$A13+1,FALSE)</f>
        <v>0</v>
      </c>
      <c r="F13" s="100">
        <f>HLOOKUP(F$2,Modes!$B$2:$O$31,$A13+1,FALSE)</f>
        <v>0</v>
      </c>
      <c r="G13" s="100"/>
      <c r="H13" s="100"/>
      <c r="I13" s="100"/>
      <c r="J13" s="100"/>
      <c r="K13" s="100"/>
    </row>
    <row r="14" spans="1:14">
      <c r="A14" s="82">
        <v>7</v>
      </c>
      <c r="B14" s="97" t="str">
        <f>HLOOKUP(B$2,Modes!$B$2:$E$31,$A14+1)</f>
        <v xml:space="preserve">panel +Z, payload plate </v>
      </c>
      <c r="C14" s="98">
        <f>HLOOKUP(C$2,Modes!$B$2:$O$31,$A14+1,FALSE)</f>
        <v>0</v>
      </c>
      <c r="D14" s="99">
        <f>HLOOKUP(D$2,Modes!$B$2:$O$31,$A14+1,FALSE)</f>
        <v>0</v>
      </c>
      <c r="E14" s="99">
        <f>HLOOKUP(E$2,Modes!$B$2:$O$31,$A14+1,FALSE)</f>
        <v>0</v>
      </c>
      <c r="F14" s="100">
        <f>HLOOKUP(F$2,Modes!$B$2:$O$31,$A14+1,FALSE)</f>
        <v>0</v>
      </c>
      <c r="G14" s="100"/>
      <c r="H14" s="100"/>
      <c r="I14" s="100"/>
      <c r="J14" s="100"/>
      <c r="K14" s="100"/>
    </row>
    <row r="15" spans="1:14">
      <c r="A15" s="82">
        <v>8</v>
      </c>
      <c r="B15" s="97" t="str">
        <f>HLOOKUP(B$2,Modes!$B$2:$E$31,$A15+1)</f>
        <v xml:space="preserve">LED 1 </v>
      </c>
      <c r="C15" s="98">
        <f>HLOOKUP(C$2,Modes!$B$2:$O$31,$A15+1,FALSE)</f>
        <v>0</v>
      </c>
      <c r="D15" s="99">
        <f>HLOOKUP(D$2,Modes!$B$2:$O$31,$A15+1,FALSE)</f>
        <v>200</v>
      </c>
      <c r="E15" s="99">
        <f>HLOOKUP(E$2,Modes!$B$2:$O$31,$A15+1,FALSE)</f>
        <v>0</v>
      </c>
      <c r="F15" s="100">
        <f>HLOOKUP(F$2,Modes!$B$2:$O$31,$A15+1,FALSE)</f>
        <v>5.0999999999999996</v>
      </c>
      <c r="G15" s="100"/>
      <c r="H15" s="100"/>
      <c r="I15" s="100"/>
      <c r="J15" s="100"/>
      <c r="K15" s="100"/>
    </row>
    <row r="16" spans="1:14">
      <c r="A16" s="82">
        <v>9</v>
      </c>
      <c r="B16" s="97" t="str">
        <f>HLOOKUP(B$2,Modes!$B$2:$E$31,$A16+1)</f>
        <v>LED 2</v>
      </c>
      <c r="C16" s="98">
        <f>HLOOKUP(C$2,Modes!$B$2:$O$31,$A16+1,FALSE)</f>
        <v>0</v>
      </c>
      <c r="D16" s="99">
        <f>HLOOKUP(D$2,Modes!$B$2:$O$31,$A16+1,FALSE)</f>
        <v>200</v>
      </c>
      <c r="E16" s="99">
        <f>HLOOKUP(E$2,Modes!$B$2:$O$31,$A16+1,FALSE)</f>
        <v>0</v>
      </c>
      <c r="F16" s="100">
        <f>HLOOKUP(F$2,Modes!$B$2:$O$31,$A16+1,FALSE)</f>
        <v>5.0999999999999996</v>
      </c>
      <c r="G16" s="100"/>
      <c r="H16" s="100"/>
      <c r="I16" s="100"/>
      <c r="J16" s="100"/>
      <c r="K16" s="100"/>
    </row>
    <row r="17" spans="1:11">
      <c r="A17" s="82">
        <v>10</v>
      </c>
      <c r="B17" s="97" t="str">
        <f>HLOOKUP(B$2,Modes!$B$2:$E$31,$A17+1)</f>
        <v>LED 3</v>
      </c>
      <c r="C17" s="98">
        <f>HLOOKUP(C$2,Modes!$B$2:$O$31,$A17+1,FALSE)</f>
        <v>0</v>
      </c>
      <c r="D17" s="99">
        <f>HLOOKUP(D$2,Modes!$B$2:$O$31,$A17+1,FALSE)</f>
        <v>200</v>
      </c>
      <c r="E17" s="99">
        <f>HLOOKUP(E$2,Modes!$B$2:$O$31,$A17+1,FALSE)</f>
        <v>0</v>
      </c>
      <c r="F17" s="100">
        <f>HLOOKUP(F$2,Modes!$B$2:$O$31,$A17+1,FALSE)</f>
        <v>5.0999999999999996</v>
      </c>
      <c r="G17" s="100"/>
      <c r="H17" s="100"/>
      <c r="I17" s="100"/>
      <c r="J17" s="100"/>
      <c r="K17" s="100"/>
    </row>
    <row r="18" spans="1:11">
      <c r="A18" s="82">
        <v>11</v>
      </c>
      <c r="B18" s="97" t="str">
        <f>HLOOKUP(B$2,Modes!$B$2:$E$31,$A18+1)</f>
        <v xml:space="preserve">LED 4 </v>
      </c>
      <c r="C18" s="98">
        <f>HLOOKUP(C$2,Modes!$B$2:$O$31,$A18+1,FALSE)</f>
        <v>0</v>
      </c>
      <c r="D18" s="99">
        <f>HLOOKUP(D$2,Modes!$B$2:$O$31,$A18+1,FALSE)</f>
        <v>200</v>
      </c>
      <c r="E18" s="99">
        <f>HLOOKUP(E$2,Modes!$B$2:$O$31,$A18+1,FALSE)</f>
        <v>0</v>
      </c>
      <c r="F18" s="100">
        <f>HLOOKUP(F$2,Modes!$B$2:$O$31,$A18+1,FALSE)</f>
        <v>5.0999999999999996</v>
      </c>
      <c r="G18" s="100"/>
      <c r="H18" s="100"/>
      <c r="I18" s="100"/>
      <c r="J18" s="100"/>
      <c r="K18" s="100"/>
    </row>
    <row r="19" spans="1:11">
      <c r="A19" s="82">
        <v>12</v>
      </c>
      <c r="B19" s="97" t="str">
        <f>HLOOKUP(B$2,Modes!$B$2:$E$31,$A19+1)</f>
        <v>Node 12, BMS</v>
      </c>
      <c r="C19" s="98">
        <f>HLOOKUP(C$2,Modes!$B$2:$O$31,$A19+1,FALSE)</f>
        <v>0</v>
      </c>
      <c r="D19" s="99">
        <f>HLOOKUP(D$2,Modes!$B$2:$O$31,$A19+1,FALSE)</f>
        <v>0</v>
      </c>
      <c r="E19" s="99">
        <f>HLOOKUP(E$2,Modes!$B$2:$O$31,$A19+1,FALSE)</f>
        <v>0</v>
      </c>
      <c r="F19" s="100">
        <f>HLOOKUP(F$2,Modes!$B$2:$O$31,$A19+1,FALSE)</f>
        <v>0</v>
      </c>
      <c r="G19" s="100"/>
      <c r="H19" s="100"/>
      <c r="I19" s="100"/>
      <c r="J19" s="100"/>
      <c r="K19" s="100"/>
    </row>
    <row r="20" spans="1:11">
      <c r="A20" s="82">
        <v>13</v>
      </c>
      <c r="B20" s="97" t="str">
        <f>HLOOKUP(B$2,Modes!$B$2:$E$31,$A20+1)</f>
        <v>Node 13, Batteries Isolation</v>
      </c>
      <c r="C20" s="98">
        <f>HLOOKUP(C$2,Modes!$B$2:$O$31,$A20+1,FALSE)</f>
        <v>0</v>
      </c>
      <c r="D20" s="99">
        <f>HLOOKUP(D$2,Modes!$B$2:$O$31,$A20+1,FALSE)</f>
        <v>0</v>
      </c>
      <c r="E20" s="99">
        <f>HLOOKUP(E$2,Modes!$B$2:$O$31,$A20+1,FALSE)</f>
        <v>0</v>
      </c>
      <c r="F20" s="100">
        <f>HLOOKUP(F$2,Modes!$B$2:$O$31,$A20+1,FALSE)</f>
        <v>0</v>
      </c>
      <c r="G20" s="100"/>
      <c r="H20" s="100"/>
      <c r="I20" s="100"/>
      <c r="J20" s="100"/>
      <c r="K20" s="100"/>
    </row>
    <row r="21" spans="1:11">
      <c r="A21" s="82">
        <v>14</v>
      </c>
      <c r="B21" s="97" t="str">
        <f>HLOOKUP(B$2,Modes!$B$2:$E$31,$A21+1)</f>
        <v>Node 14, LiFePo4 1</v>
      </c>
      <c r="C21" s="98">
        <f>HLOOKUP(C$2,Modes!$B$2:$O$31,$A21+1,FALSE)</f>
        <v>0</v>
      </c>
      <c r="D21" s="99">
        <f>HLOOKUP(D$2,Modes!$B$2:$O$31,$A21+1,FALSE)</f>
        <v>0</v>
      </c>
      <c r="E21" s="99">
        <f>HLOOKUP(E$2,Modes!$B$2:$O$31,$A21+1,FALSE)</f>
        <v>0</v>
      </c>
      <c r="F21" s="100">
        <f>HLOOKUP(F$2,Modes!$B$2:$O$31,$A21+1,FALSE)</f>
        <v>0</v>
      </c>
      <c r="G21" s="100"/>
      <c r="H21" s="100"/>
      <c r="I21" s="100"/>
      <c r="J21" s="100"/>
      <c r="K21" s="100"/>
    </row>
    <row r="22" spans="1:11">
      <c r="A22" s="82">
        <v>15</v>
      </c>
      <c r="B22" s="97" t="str">
        <f>HLOOKUP(B$2,Modes!$B$2:$E$31,$A22+1)</f>
        <v>Node 15, LiFePo4 3</v>
      </c>
      <c r="C22" s="98">
        <f>HLOOKUP(C$2,Modes!$B$2:$O$31,$A22+1,FALSE)</f>
        <v>0</v>
      </c>
      <c r="D22" s="99">
        <f>HLOOKUP(D$2,Modes!$B$2:$O$31,$A22+1,FALSE)</f>
        <v>0</v>
      </c>
      <c r="E22" s="99">
        <f>HLOOKUP(E$2,Modes!$B$2:$O$31,$A22+1,FALSE)</f>
        <v>0</v>
      </c>
      <c r="F22" s="100">
        <f>HLOOKUP(F$2,Modes!$B$2:$O$31,$A22+1,FALSE)</f>
        <v>0</v>
      </c>
      <c r="G22" s="100"/>
      <c r="H22" s="100"/>
      <c r="I22" s="100"/>
      <c r="J22" s="100"/>
      <c r="K22" s="100"/>
    </row>
    <row r="23" spans="1:11">
      <c r="A23" s="82">
        <v>16</v>
      </c>
      <c r="B23" s="97" t="str">
        <f>HLOOKUP(B$2,Modes!$B$2:$E$31,$A23+1)</f>
        <v>Node 16, LiFePo4 2</v>
      </c>
      <c r="C23" s="98">
        <f>HLOOKUP(C$2,Modes!$B$2:$O$31,$A23+1,FALSE)</f>
        <v>0</v>
      </c>
      <c r="D23" s="99">
        <f>HLOOKUP(D$2,Modes!$B$2:$O$31,$A23+1,FALSE)</f>
        <v>0</v>
      </c>
      <c r="E23" s="99">
        <f>HLOOKUP(E$2,Modes!$B$2:$O$31,$A23+1,FALSE)</f>
        <v>0</v>
      </c>
      <c r="F23" s="100">
        <f>HLOOKUP(F$2,Modes!$B$2:$O$31,$A23+1,FALSE)</f>
        <v>0</v>
      </c>
      <c r="G23" s="100"/>
      <c r="H23" s="100"/>
      <c r="I23" s="100"/>
      <c r="J23" s="100"/>
      <c r="K23" s="100"/>
    </row>
    <row r="24" spans="1:11">
      <c r="A24" s="82">
        <v>17</v>
      </c>
      <c r="B24" s="97" t="str">
        <f>HLOOKUP(B$2,Modes!$B$2:$E$31,$A24+1)</f>
        <v>Node 17, LiFePo4 4</v>
      </c>
      <c r="C24" s="98">
        <f>HLOOKUP(C$2,Modes!$B$2:$O$31,$A24+1,FALSE)</f>
        <v>0</v>
      </c>
      <c r="D24" s="99">
        <f>HLOOKUP(D$2,Modes!$B$2:$O$31,$A24+1,FALSE)</f>
        <v>0</v>
      </c>
      <c r="E24" s="99">
        <f>HLOOKUP(E$2,Modes!$B$2:$O$31,$A24+1,FALSE)</f>
        <v>0</v>
      </c>
      <c r="F24" s="100">
        <f>HLOOKUP(F$2,Modes!$B$2:$O$31,$A24+1,FALSE)</f>
        <v>0</v>
      </c>
      <c r="G24" s="100"/>
      <c r="H24" s="100"/>
      <c r="I24" s="100"/>
      <c r="J24" s="100"/>
      <c r="K24" s="100"/>
    </row>
    <row r="25" spans="1:11">
      <c r="A25" s="82">
        <v>18</v>
      </c>
      <c r="B25" s="97" t="str">
        <f>HLOOKUP(B$2,Modes!$B$2:$E$31,$A25+1)</f>
        <v>Node 18, Cell Litio 1</v>
      </c>
      <c r="C25" s="98">
        <f>HLOOKUP(C$2,Modes!$B$2:$O$31,$A25+1,FALSE)</f>
        <v>0</v>
      </c>
      <c r="D25" s="99">
        <f>HLOOKUP(D$2,Modes!$B$2:$O$31,$A25+1,FALSE)</f>
        <v>0</v>
      </c>
      <c r="E25" s="99">
        <f>HLOOKUP(E$2,Modes!$B$2:$O$31,$A25+1,FALSE)</f>
        <v>0</v>
      </c>
      <c r="F25" s="100">
        <f>HLOOKUP(F$2,Modes!$B$2:$O$31,$A25+1,FALSE)</f>
        <v>0</v>
      </c>
      <c r="G25" s="100"/>
      <c r="H25" s="100"/>
      <c r="I25" s="100"/>
      <c r="J25" s="100"/>
      <c r="K25" s="100"/>
    </row>
    <row r="26" spans="1:11">
      <c r="A26" s="82">
        <v>19</v>
      </c>
      <c r="B26" s="97" t="str">
        <f>HLOOKUP(B$2,Modes!$B$2:$E$31,$A26+1)</f>
        <v>Node 19, Cell Litio 2</v>
      </c>
      <c r="C26" s="98">
        <f>HLOOKUP(C$2,Modes!$B$2:$O$31,$A26+1,FALSE)</f>
        <v>0</v>
      </c>
      <c r="D26" s="99">
        <f>HLOOKUP(D$2,Modes!$B$2:$O$31,$A26+1,FALSE)</f>
        <v>0</v>
      </c>
      <c r="E26" s="99">
        <f>HLOOKUP(E$2,Modes!$B$2:$O$31,$A26+1,FALSE)</f>
        <v>0</v>
      </c>
      <c r="F26" s="100">
        <f>HLOOKUP(F$2,Modes!$B$2:$O$31,$A26+1,FALSE)</f>
        <v>0</v>
      </c>
      <c r="G26" s="100"/>
      <c r="H26" s="100"/>
      <c r="I26" s="100"/>
      <c r="J26" s="100"/>
      <c r="K26" s="100"/>
    </row>
    <row r="27" spans="1:11">
      <c r="A27" s="82">
        <v>20</v>
      </c>
      <c r="B27" s="97" t="str">
        <f>HLOOKUP(B$2,Modes!$B$2:$E$31,$A27+1)</f>
        <v>Node 20, LoMo</v>
      </c>
      <c r="C27" s="98">
        <f>HLOOKUP(C$2,Modes!$B$2:$O$31,$A27+1,FALSE)</f>
        <v>0</v>
      </c>
      <c r="D27" s="99">
        <f>HLOOKUP(D$2,Modes!$B$2:$O$31,$A27+1,FALSE)</f>
        <v>0</v>
      </c>
      <c r="E27" s="99">
        <f>HLOOKUP(E$2,Modes!$B$2:$O$31,$A27+1,FALSE)</f>
        <v>0</v>
      </c>
      <c r="F27" s="100">
        <f>HLOOKUP(F$2,Modes!$B$2:$O$31,$A27+1,FALSE)</f>
        <v>0</v>
      </c>
      <c r="G27" s="100"/>
      <c r="H27" s="100"/>
      <c r="I27" s="100"/>
      <c r="J27" s="100"/>
      <c r="K27" s="100"/>
    </row>
    <row r="28" spans="1:11">
      <c r="A28" s="82">
        <v>21</v>
      </c>
      <c r="B28" s="97" t="str">
        <f>HLOOKUP(B$2,Modes!$B$2:$E$31,$A28+1)</f>
        <v>Node 21, Transceiver(Tx-Rx)</v>
      </c>
      <c r="C28" s="98">
        <f>HLOOKUP(C$2,Modes!$B$2:$O$31,$A28+1,FALSE)</f>
        <v>0</v>
      </c>
      <c r="D28" s="99">
        <f>HLOOKUP(D$2,Modes!$B$2:$O$31,$A28+1,FALSE)</f>
        <v>0</v>
      </c>
      <c r="E28" s="99">
        <f>HLOOKUP(E$2,Modes!$B$2:$O$31,$A28+1,FALSE)</f>
        <v>0</v>
      </c>
      <c r="F28" s="100">
        <f>HLOOKUP(F$2,Modes!$B$2:$O$31,$A28+1,FALSE)</f>
        <v>0</v>
      </c>
      <c r="G28" s="100"/>
      <c r="H28" s="100"/>
      <c r="I28" s="100"/>
      <c r="J28" s="100"/>
      <c r="K28" s="100"/>
    </row>
    <row r="29" spans="1:11">
      <c r="A29" s="82">
        <v>22</v>
      </c>
      <c r="B29" s="97" t="str">
        <f>HLOOKUP(B$2,Modes!$B$2:$E$31,$A29+1)</f>
        <v>Node 22, Antena module</v>
      </c>
      <c r="C29" s="98">
        <f>HLOOKUP(C$2,Modes!$B$2:$O$31,$A29+1,FALSE)</f>
        <v>0</v>
      </c>
      <c r="D29" s="99">
        <f>HLOOKUP(D$2,Modes!$B$2:$O$31,$A29+1,FALSE)</f>
        <v>0</v>
      </c>
      <c r="E29" s="99">
        <f>HLOOKUP(E$2,Modes!$B$2:$O$31,$A29+1,FALSE)</f>
        <v>0</v>
      </c>
      <c r="F29" s="100">
        <f>HLOOKUP(F$2,Modes!$B$2:$O$31,$A29+1,FALSE)</f>
        <v>0</v>
      </c>
      <c r="G29" s="100"/>
      <c r="H29" s="100"/>
      <c r="I29" s="100"/>
      <c r="J29" s="100"/>
      <c r="K29" s="100"/>
    </row>
    <row r="30" spans="1:11">
      <c r="A30" s="82">
        <v>23</v>
      </c>
      <c r="B30" s="97" t="str">
        <f>HLOOKUP(B$2,Modes!$B$2:$E$31,$A30+1)</f>
        <v>Node 23, OBC</v>
      </c>
      <c r="C30" s="98">
        <f>HLOOKUP(C$2,Modes!$B$2:$O$31,$A30+1,FALSE)</f>
        <v>0</v>
      </c>
      <c r="D30" s="99">
        <f>HLOOKUP(D$2,Modes!$B$2:$O$31,$A30+1,FALSE)</f>
        <v>0</v>
      </c>
      <c r="E30" s="99">
        <f>HLOOKUP(E$2,Modes!$B$2:$O$31,$A30+1,FALSE)</f>
        <v>0</v>
      </c>
      <c r="F30" s="100">
        <f>HLOOKUP(F$2,Modes!$B$2:$O$31,$A30+1,FALSE)</f>
        <v>0</v>
      </c>
      <c r="G30" s="100"/>
      <c r="H30" s="100"/>
      <c r="I30" s="100"/>
      <c r="J30" s="100"/>
      <c r="K30" s="100"/>
    </row>
    <row r="31" spans="1:11">
      <c r="A31" s="82">
        <v>24</v>
      </c>
      <c r="B31" s="97" t="str">
        <f>HLOOKUP(B$2,Modes!$B$2:$E$31,$A31+1)</f>
        <v>Node 24, Solar Panel (Y)</v>
      </c>
      <c r="C31" s="98">
        <f>HLOOKUP(C$2,Modes!$B$2:$O$31,$A31+1,FALSE)</f>
        <v>0</v>
      </c>
      <c r="D31" s="99">
        <f>HLOOKUP(D$2,Modes!$B$2:$O$31,$A31+1,FALSE)</f>
        <v>0</v>
      </c>
      <c r="E31" s="99">
        <f>HLOOKUP(E$2,Modes!$B$2:$O$31,$A31+1,FALSE)</f>
        <v>0</v>
      </c>
      <c r="F31" s="100">
        <f>HLOOKUP(F$2,Modes!$B$2:$O$31,$A31+1,FALSE)</f>
        <v>0</v>
      </c>
      <c r="G31" s="100"/>
      <c r="H31" s="100"/>
      <c r="I31" s="100"/>
      <c r="J31" s="100"/>
      <c r="K31" s="100"/>
    </row>
    <row r="32" spans="1:11">
      <c r="A32" s="82">
        <v>25</v>
      </c>
      <c r="B32" s="97" t="str">
        <f>HLOOKUP(B$2,Modes!$B$2:$E$31,$A32+1)</f>
        <v>Node 25, Solar Panel (-Y)</v>
      </c>
      <c r="C32" s="98">
        <f>HLOOKUP(C$2,Modes!$B$2:$O$31,$A32+1,FALSE)</f>
        <v>0</v>
      </c>
      <c r="D32" s="99">
        <f>HLOOKUP(D$2,Modes!$B$2:$O$31,$A32+1,FALSE)</f>
        <v>0</v>
      </c>
      <c r="E32" s="99">
        <f>HLOOKUP(E$2,Modes!$B$2:$O$31,$A32+1,FALSE)</f>
        <v>0</v>
      </c>
      <c r="F32" s="100">
        <f>HLOOKUP(F$2,Modes!$B$2:$O$31,$A32+1,FALSE)</f>
        <v>0</v>
      </c>
      <c r="G32" s="100"/>
      <c r="H32" s="100"/>
      <c r="I32" s="100"/>
      <c r="J32" s="100"/>
      <c r="K32" s="100"/>
    </row>
    <row r="33" spans="1:11">
      <c r="A33" s="82">
        <v>26</v>
      </c>
      <c r="B33" s="97" t="str">
        <f>HLOOKUP(B$2,Modes!$B$2:$E$31,$A33+1)</f>
        <v>Node 26, Solar Panel (X)</v>
      </c>
      <c r="C33" s="98">
        <f>HLOOKUP(C$2,Modes!$B$2:$O$31,$A33+1,FALSE)</f>
        <v>0</v>
      </c>
      <c r="D33" s="99">
        <f>HLOOKUP(D$2,Modes!$B$2:$O$31,$A33+1,FALSE)</f>
        <v>0</v>
      </c>
      <c r="E33" s="99">
        <f>HLOOKUP(E$2,Modes!$B$2:$O$31,$A33+1,FALSE)</f>
        <v>0</v>
      </c>
      <c r="F33" s="100">
        <f>HLOOKUP(F$2,Modes!$B$2:$O$31,$A33+1,FALSE)</f>
        <v>0</v>
      </c>
      <c r="G33" s="100"/>
      <c r="H33" s="100"/>
      <c r="I33" s="100"/>
      <c r="J33" s="100"/>
      <c r="K33" s="100"/>
    </row>
    <row r="34" spans="1:11">
      <c r="A34" s="82">
        <v>27</v>
      </c>
      <c r="B34" s="97" t="str">
        <f>HLOOKUP(B$2,Modes!$B$2:$E$31,$A34+1)</f>
        <v>Node 27, Solar Panel (-X)RBF</v>
      </c>
      <c r="C34" s="98">
        <f>HLOOKUP(C$2,Modes!$B$2:$O$31,$A34+1,FALSE)</f>
        <v>0</v>
      </c>
      <c r="D34" s="99">
        <f>HLOOKUP(D$2,Modes!$B$2:$O$31,$A34+1,FALSE)</f>
        <v>0</v>
      </c>
      <c r="E34" s="99">
        <f>HLOOKUP(E$2,Modes!$B$2:$O$31,$A34+1,FALSE)</f>
        <v>0</v>
      </c>
      <c r="F34" s="100">
        <f>HLOOKUP(F$2,Modes!$B$2:$O$31,$A34+1,FALSE)</f>
        <v>0</v>
      </c>
      <c r="G34" s="100"/>
      <c r="H34" s="100"/>
      <c r="I34" s="100"/>
      <c r="J34" s="100"/>
      <c r="K34" s="100"/>
    </row>
    <row r="35" spans="1:11">
      <c r="A35" s="82">
        <v>28</v>
      </c>
      <c r="B35" s="97" t="str">
        <f>HLOOKUP(B$2,Modes!$B$2:$E$31,$A35+1)</f>
        <v>Node 28, Solar Panel (-Z(antenna))</v>
      </c>
      <c r="C35" s="98">
        <f>HLOOKUP(C$2,Modes!$B$2:$O$31,$A35+1,FALSE)</f>
        <v>0</v>
      </c>
      <c r="D35" s="99">
        <f>HLOOKUP(D$2,Modes!$B$2:$O$31,$A35+1,FALSE)</f>
        <v>0</v>
      </c>
      <c r="E35" s="99">
        <f>HLOOKUP(E$2,Modes!$B$2:$O$31,$A35+1,FALSE)</f>
        <v>0</v>
      </c>
      <c r="F35" s="100">
        <f>HLOOKUP(F$2,Modes!$B$2:$O$31,$A35+1,FALSE)</f>
        <v>0</v>
      </c>
      <c r="G35" s="100"/>
      <c r="H35" s="100"/>
      <c r="I35" s="100"/>
      <c r="J35" s="100"/>
      <c r="K35" s="100"/>
    </row>
    <row r="36" spans="1:11" ht="15.75" thickBot="1">
      <c r="A36" s="82">
        <v>29</v>
      </c>
      <c r="B36" s="101" t="str">
        <f>HLOOKUP(B$2,Modes!$B$2:$E$31,$A36+1)</f>
        <v>Node 29, EPS de alta</v>
      </c>
      <c r="C36" s="98">
        <f>HLOOKUP(C$2,Modes!$B$2:$O$31,$A36+1,FALSE)</f>
        <v>0</v>
      </c>
      <c r="D36" s="99">
        <f>HLOOKUP(D$2,Modes!$B$2:$O$31,$A36+1,FALSE)</f>
        <v>0</v>
      </c>
      <c r="E36" s="99">
        <f>HLOOKUP(E$2,Modes!$B$2:$O$31,$A36+1,FALSE)</f>
        <v>0</v>
      </c>
      <c r="F36" s="100">
        <f>HLOOKUP(F$2,Modes!$B$2:$O$31,$A36+1,FALSE)</f>
        <v>0</v>
      </c>
      <c r="G36" s="100"/>
      <c r="H36" s="100"/>
      <c r="I36" s="100"/>
      <c r="J36" s="100"/>
      <c r="K36" s="100"/>
    </row>
    <row r="37" spans="1:11">
      <c r="B37" s="8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5E130-2D16-4A0C-8BB3-2172273CEA1D}">
  <dimension ref="B1:O32"/>
  <sheetViews>
    <sheetView workbookViewId="0">
      <selection activeCell="H20" sqref="H20"/>
    </sheetView>
  </sheetViews>
  <sheetFormatPr baseColWidth="10" defaultRowHeight="15"/>
  <cols>
    <col min="2" max="2" width="32" bestFit="1" customWidth="1"/>
  </cols>
  <sheetData>
    <row r="1" spans="2:15" ht="15.75" thickBot="1"/>
    <row r="2" spans="2:15" ht="15.75" thickBot="1">
      <c r="B2" s="142" t="s">
        <v>257</v>
      </c>
      <c r="C2" s="127" t="s">
        <v>260</v>
      </c>
      <c r="D2" s="128" t="s">
        <v>258</v>
      </c>
      <c r="E2" s="128" t="s">
        <v>259</v>
      </c>
      <c r="F2" s="129"/>
      <c r="G2" s="129"/>
      <c r="H2" s="129"/>
      <c r="I2" s="129"/>
      <c r="J2" s="129"/>
      <c r="K2" s="129"/>
      <c r="L2" s="129"/>
      <c r="M2" s="129"/>
      <c r="N2" s="129"/>
      <c r="O2" s="130"/>
    </row>
    <row r="3" spans="2:15">
      <c r="B3" s="143" t="s">
        <v>214</v>
      </c>
      <c r="C3" s="131">
        <v>0</v>
      </c>
      <c r="D3" s="132">
        <v>0</v>
      </c>
      <c r="E3" s="132">
        <v>0</v>
      </c>
      <c r="F3" s="132"/>
      <c r="G3" s="132"/>
      <c r="H3" s="132"/>
      <c r="I3" s="132"/>
      <c r="J3" s="132"/>
      <c r="K3" s="132"/>
      <c r="L3" s="132"/>
      <c r="M3" s="132"/>
      <c r="N3" s="132"/>
      <c r="O3" s="133"/>
    </row>
    <row r="4" spans="2:15">
      <c r="B4" s="144" t="s">
        <v>215</v>
      </c>
      <c r="C4" s="134">
        <v>0</v>
      </c>
      <c r="D4" s="84">
        <v>0</v>
      </c>
      <c r="E4" s="84">
        <v>0</v>
      </c>
      <c r="F4" s="84"/>
      <c r="G4" s="84"/>
      <c r="H4" s="84"/>
      <c r="I4" s="84"/>
      <c r="J4" s="84"/>
      <c r="K4" s="84"/>
      <c r="L4" s="84"/>
      <c r="M4" s="84"/>
      <c r="N4" s="84"/>
      <c r="O4" s="135"/>
    </row>
    <row r="5" spans="2:15">
      <c r="B5" s="144" t="s">
        <v>216</v>
      </c>
      <c r="C5" s="134">
        <v>0</v>
      </c>
      <c r="D5" s="84">
        <v>0</v>
      </c>
      <c r="E5" s="84">
        <v>0</v>
      </c>
      <c r="F5" s="84"/>
      <c r="G5" s="84"/>
      <c r="H5" s="84"/>
      <c r="I5" s="84"/>
      <c r="J5" s="84"/>
      <c r="K5" s="84"/>
      <c r="L5" s="84"/>
      <c r="M5" s="84"/>
      <c r="N5" s="84"/>
      <c r="O5" s="135"/>
    </row>
    <row r="6" spans="2:15">
      <c r="B6" s="144" t="s">
        <v>217</v>
      </c>
      <c r="C6" s="134">
        <v>0</v>
      </c>
      <c r="D6" s="84">
        <v>0</v>
      </c>
      <c r="E6" s="84">
        <v>0</v>
      </c>
      <c r="F6" s="84"/>
      <c r="G6" s="84"/>
      <c r="H6" s="84"/>
      <c r="I6" s="84"/>
      <c r="J6" s="84"/>
      <c r="K6" s="84"/>
      <c r="L6" s="84"/>
      <c r="M6" s="84"/>
      <c r="N6" s="84"/>
      <c r="O6" s="135"/>
    </row>
    <row r="7" spans="2:15">
      <c r="B7" s="144" t="s">
        <v>218</v>
      </c>
      <c r="C7" s="134">
        <v>0</v>
      </c>
      <c r="D7" s="84">
        <v>0</v>
      </c>
      <c r="E7" s="84">
        <v>0</v>
      </c>
      <c r="F7" s="84"/>
      <c r="G7" s="84"/>
      <c r="H7" s="84"/>
      <c r="I7" s="84"/>
      <c r="J7" s="84"/>
      <c r="K7" s="84"/>
      <c r="L7" s="84"/>
      <c r="M7" s="84"/>
      <c r="N7" s="84"/>
      <c r="O7" s="135"/>
    </row>
    <row r="8" spans="2:15">
      <c r="B8" s="144" t="s">
        <v>219</v>
      </c>
      <c r="C8" s="134">
        <v>0</v>
      </c>
      <c r="D8" s="84">
        <v>0</v>
      </c>
      <c r="E8" s="84">
        <v>0</v>
      </c>
      <c r="F8" s="84"/>
      <c r="G8" s="84"/>
      <c r="H8" s="84"/>
      <c r="I8" s="84"/>
      <c r="J8" s="84"/>
      <c r="K8" s="84"/>
      <c r="L8" s="84"/>
      <c r="M8" s="84"/>
      <c r="N8" s="84"/>
      <c r="O8" s="135"/>
    </row>
    <row r="9" spans="2:15">
      <c r="B9" s="144" t="s">
        <v>220</v>
      </c>
      <c r="C9" s="134">
        <v>0</v>
      </c>
      <c r="D9" s="84">
        <v>0</v>
      </c>
      <c r="E9" s="84">
        <v>0</v>
      </c>
      <c r="F9" s="84"/>
      <c r="G9" s="84"/>
      <c r="H9" s="84"/>
      <c r="I9" s="84"/>
      <c r="J9" s="84"/>
      <c r="K9" s="84"/>
      <c r="L9" s="84"/>
      <c r="M9" s="84"/>
      <c r="N9" s="84"/>
      <c r="O9" s="135"/>
    </row>
    <row r="10" spans="2:15">
      <c r="B10" s="144" t="s">
        <v>221</v>
      </c>
      <c r="C10" s="134">
        <v>0</v>
      </c>
      <c r="D10" s="84">
        <v>200</v>
      </c>
      <c r="E10" s="84">
        <v>5.0999999999999996</v>
      </c>
      <c r="F10" s="84"/>
      <c r="G10" s="84"/>
      <c r="H10" s="84"/>
      <c r="I10" s="84"/>
      <c r="J10" s="84"/>
      <c r="K10" s="84"/>
      <c r="L10" s="84"/>
      <c r="M10" s="84"/>
      <c r="N10" s="84"/>
      <c r="O10" s="135"/>
    </row>
    <row r="11" spans="2:15">
      <c r="B11" s="144" t="s">
        <v>222</v>
      </c>
      <c r="C11" s="134">
        <v>0</v>
      </c>
      <c r="D11" s="84">
        <v>200</v>
      </c>
      <c r="E11" s="84">
        <v>5.0999999999999996</v>
      </c>
      <c r="F11" s="84"/>
      <c r="G11" s="84"/>
      <c r="H11" s="84"/>
      <c r="I11" s="84"/>
      <c r="J11" s="84"/>
      <c r="K11" s="84"/>
      <c r="L11" s="84"/>
      <c r="M11" s="84"/>
      <c r="N11" s="84"/>
      <c r="O11" s="135"/>
    </row>
    <row r="12" spans="2:15">
      <c r="B12" s="144" t="s">
        <v>223</v>
      </c>
      <c r="C12" s="134">
        <v>0</v>
      </c>
      <c r="D12" s="84">
        <v>200</v>
      </c>
      <c r="E12" s="84">
        <v>5.0999999999999996</v>
      </c>
      <c r="F12" s="84"/>
      <c r="G12" s="84"/>
      <c r="H12" s="84"/>
      <c r="I12" s="84"/>
      <c r="J12" s="84"/>
      <c r="K12" s="84"/>
      <c r="L12" s="84"/>
      <c r="M12" s="84"/>
      <c r="N12" s="84"/>
      <c r="O12" s="135"/>
    </row>
    <row r="13" spans="2:15">
      <c r="B13" s="144" t="s">
        <v>224</v>
      </c>
      <c r="C13" s="134">
        <v>0</v>
      </c>
      <c r="D13" s="84">
        <v>200</v>
      </c>
      <c r="E13" s="84">
        <v>5.0999999999999996</v>
      </c>
      <c r="F13" s="84"/>
      <c r="G13" s="84"/>
      <c r="H13" s="84"/>
      <c r="I13" s="84"/>
      <c r="J13" s="84"/>
      <c r="K13" s="84"/>
      <c r="L13" s="84"/>
      <c r="M13" s="84"/>
      <c r="N13" s="84"/>
      <c r="O13" s="135"/>
    </row>
    <row r="14" spans="2:15">
      <c r="B14" s="144" t="s">
        <v>225</v>
      </c>
      <c r="C14" s="134">
        <v>0</v>
      </c>
      <c r="D14" s="84">
        <v>0</v>
      </c>
      <c r="E14" s="84">
        <v>0</v>
      </c>
      <c r="F14" s="84"/>
      <c r="G14" s="84"/>
      <c r="H14" s="84"/>
      <c r="I14" s="84"/>
      <c r="J14" s="84"/>
      <c r="K14" s="84"/>
      <c r="L14" s="84"/>
      <c r="M14" s="84"/>
      <c r="N14" s="84"/>
      <c r="O14" s="135"/>
    </row>
    <row r="15" spans="2:15">
      <c r="B15" s="144" t="s">
        <v>226</v>
      </c>
      <c r="C15" s="134">
        <v>0</v>
      </c>
      <c r="D15" s="84">
        <v>0</v>
      </c>
      <c r="E15" s="84">
        <v>0</v>
      </c>
      <c r="F15" s="84"/>
      <c r="G15" s="84"/>
      <c r="H15" s="84"/>
      <c r="I15" s="84"/>
      <c r="J15" s="84"/>
      <c r="K15" s="84"/>
      <c r="L15" s="84"/>
      <c r="M15" s="84"/>
      <c r="N15" s="84"/>
      <c r="O15" s="135"/>
    </row>
    <row r="16" spans="2:15">
      <c r="B16" s="144" t="s">
        <v>227</v>
      </c>
      <c r="C16" s="134">
        <v>0</v>
      </c>
      <c r="D16" s="84">
        <v>0</v>
      </c>
      <c r="E16" s="84">
        <v>0</v>
      </c>
      <c r="F16" s="84"/>
      <c r="G16" s="84"/>
      <c r="H16" s="84"/>
      <c r="I16" s="84"/>
      <c r="J16" s="84"/>
      <c r="K16" s="84"/>
      <c r="L16" s="84"/>
      <c r="M16" s="84"/>
      <c r="N16" s="84"/>
      <c r="O16" s="135"/>
    </row>
    <row r="17" spans="2:15">
      <c r="B17" s="144" t="s">
        <v>228</v>
      </c>
      <c r="C17" s="134">
        <v>0</v>
      </c>
      <c r="D17" s="84">
        <v>0</v>
      </c>
      <c r="E17" s="84">
        <v>0</v>
      </c>
      <c r="F17" s="84"/>
      <c r="G17" s="84"/>
      <c r="H17" s="84"/>
      <c r="I17" s="84"/>
      <c r="J17" s="84"/>
      <c r="K17" s="84"/>
      <c r="L17" s="84"/>
      <c r="M17" s="84"/>
      <c r="N17" s="84"/>
      <c r="O17" s="135"/>
    </row>
    <row r="18" spans="2:15">
      <c r="B18" s="144" t="s">
        <v>229</v>
      </c>
      <c r="C18" s="134">
        <v>0</v>
      </c>
      <c r="D18" s="84">
        <v>0</v>
      </c>
      <c r="E18" s="84">
        <v>0</v>
      </c>
      <c r="F18" s="84"/>
      <c r="G18" s="84"/>
      <c r="H18" s="84"/>
      <c r="I18" s="84"/>
      <c r="J18" s="84"/>
      <c r="K18" s="84"/>
      <c r="L18" s="84"/>
      <c r="M18" s="84"/>
      <c r="N18" s="84"/>
      <c r="O18" s="135"/>
    </row>
    <row r="19" spans="2:15">
      <c r="B19" s="144" t="s">
        <v>230</v>
      </c>
      <c r="C19" s="134">
        <v>0</v>
      </c>
      <c r="D19" s="84">
        <v>0</v>
      </c>
      <c r="E19" s="84">
        <v>0</v>
      </c>
      <c r="F19" s="84"/>
      <c r="G19" s="84"/>
      <c r="H19" s="84"/>
      <c r="I19" s="84"/>
      <c r="J19" s="84"/>
      <c r="K19" s="84"/>
      <c r="L19" s="84"/>
      <c r="M19" s="84"/>
      <c r="N19" s="84"/>
      <c r="O19" s="135"/>
    </row>
    <row r="20" spans="2:15">
      <c r="B20" s="144" t="s">
        <v>231</v>
      </c>
      <c r="C20" s="134">
        <v>0</v>
      </c>
      <c r="D20" s="84">
        <v>0</v>
      </c>
      <c r="E20" s="84">
        <v>0</v>
      </c>
      <c r="F20" s="84"/>
      <c r="G20" s="84"/>
      <c r="H20" s="84"/>
      <c r="I20" s="84"/>
      <c r="J20" s="84"/>
      <c r="K20" s="84"/>
      <c r="L20" s="84"/>
      <c r="M20" s="84"/>
      <c r="N20" s="84"/>
      <c r="O20" s="135"/>
    </row>
    <row r="21" spans="2:15">
      <c r="B21" s="144" t="s">
        <v>232</v>
      </c>
      <c r="C21" s="134">
        <v>0</v>
      </c>
      <c r="D21" s="84">
        <v>0</v>
      </c>
      <c r="E21" s="84">
        <v>0</v>
      </c>
      <c r="F21" s="84"/>
      <c r="G21" s="84"/>
      <c r="H21" s="84"/>
      <c r="I21" s="84"/>
      <c r="J21" s="84"/>
      <c r="K21" s="84"/>
      <c r="L21" s="84"/>
      <c r="M21" s="84"/>
      <c r="N21" s="84"/>
      <c r="O21" s="135"/>
    </row>
    <row r="22" spans="2:15">
      <c r="B22" s="144" t="s">
        <v>233</v>
      </c>
      <c r="C22" s="134">
        <v>0</v>
      </c>
      <c r="D22" s="84">
        <v>0</v>
      </c>
      <c r="E22" s="84">
        <v>0</v>
      </c>
      <c r="F22" s="84"/>
      <c r="G22" s="84"/>
      <c r="H22" s="84"/>
      <c r="I22" s="84"/>
      <c r="J22" s="84"/>
      <c r="K22" s="84"/>
      <c r="L22" s="84"/>
      <c r="M22" s="84"/>
      <c r="N22" s="84"/>
      <c r="O22" s="135"/>
    </row>
    <row r="23" spans="2:15">
      <c r="B23" s="144" t="s">
        <v>234</v>
      </c>
      <c r="C23" s="134">
        <v>0</v>
      </c>
      <c r="D23" s="84">
        <v>0</v>
      </c>
      <c r="E23" s="84">
        <v>0</v>
      </c>
      <c r="F23" s="84"/>
      <c r="G23" s="84"/>
      <c r="H23" s="84"/>
      <c r="I23" s="84"/>
      <c r="J23" s="84"/>
      <c r="K23" s="84"/>
      <c r="L23" s="84"/>
      <c r="M23" s="84"/>
      <c r="N23" s="84"/>
      <c r="O23" s="135"/>
    </row>
    <row r="24" spans="2:15">
      <c r="B24" s="144" t="s">
        <v>235</v>
      </c>
      <c r="C24" s="134">
        <v>0</v>
      </c>
      <c r="D24" s="84">
        <v>0</v>
      </c>
      <c r="E24" s="84">
        <v>0</v>
      </c>
      <c r="F24" s="84"/>
      <c r="G24" s="84"/>
      <c r="H24" s="84"/>
      <c r="I24" s="84"/>
      <c r="J24" s="84"/>
      <c r="K24" s="84"/>
      <c r="L24" s="84"/>
      <c r="M24" s="84"/>
      <c r="N24" s="84"/>
      <c r="O24" s="135"/>
    </row>
    <row r="25" spans="2:15">
      <c r="B25" s="144" t="s">
        <v>236</v>
      </c>
      <c r="C25" s="134">
        <v>0</v>
      </c>
      <c r="D25" s="84">
        <v>0</v>
      </c>
      <c r="E25" s="84">
        <v>0</v>
      </c>
      <c r="F25" s="84"/>
      <c r="G25" s="84"/>
      <c r="H25" s="84"/>
      <c r="I25" s="84"/>
      <c r="J25" s="84"/>
      <c r="K25" s="84"/>
      <c r="L25" s="84"/>
      <c r="M25" s="84"/>
      <c r="N25" s="84"/>
      <c r="O25" s="135"/>
    </row>
    <row r="26" spans="2:15">
      <c r="B26" s="144" t="s">
        <v>237</v>
      </c>
      <c r="C26" s="134">
        <v>0</v>
      </c>
      <c r="D26" s="84">
        <v>0</v>
      </c>
      <c r="E26" s="84">
        <v>0</v>
      </c>
      <c r="F26" s="84"/>
      <c r="G26" s="84"/>
      <c r="H26" s="84"/>
      <c r="I26" s="84"/>
      <c r="J26" s="84"/>
      <c r="K26" s="84"/>
      <c r="L26" s="84"/>
      <c r="M26" s="84"/>
      <c r="N26" s="84"/>
      <c r="O26" s="135"/>
    </row>
    <row r="27" spans="2:15">
      <c r="B27" s="144" t="s">
        <v>238</v>
      </c>
      <c r="C27" s="134">
        <v>0</v>
      </c>
      <c r="D27" s="84">
        <v>0</v>
      </c>
      <c r="E27" s="84">
        <v>0</v>
      </c>
      <c r="F27" s="84"/>
      <c r="G27" s="84"/>
      <c r="H27" s="84"/>
      <c r="I27" s="84"/>
      <c r="J27" s="84"/>
      <c r="K27" s="84"/>
      <c r="L27" s="84"/>
      <c r="M27" s="84"/>
      <c r="N27" s="84"/>
      <c r="O27" s="135"/>
    </row>
    <row r="28" spans="2:15">
      <c r="B28" s="144" t="s">
        <v>239</v>
      </c>
      <c r="C28" s="134">
        <v>0</v>
      </c>
      <c r="D28" s="84">
        <v>0</v>
      </c>
      <c r="E28" s="84">
        <v>0</v>
      </c>
      <c r="F28" s="84"/>
      <c r="G28" s="84"/>
      <c r="H28" s="84"/>
      <c r="I28" s="84"/>
      <c r="J28" s="84"/>
      <c r="K28" s="84"/>
      <c r="L28" s="84"/>
      <c r="M28" s="84"/>
      <c r="N28" s="84"/>
      <c r="O28" s="135"/>
    </row>
    <row r="29" spans="2:15">
      <c r="B29" s="144" t="s">
        <v>240</v>
      </c>
      <c r="C29" s="134">
        <v>0</v>
      </c>
      <c r="D29" s="84">
        <v>0</v>
      </c>
      <c r="E29" s="84">
        <v>0</v>
      </c>
      <c r="F29" s="84"/>
      <c r="G29" s="84"/>
      <c r="H29" s="84"/>
      <c r="I29" s="84"/>
      <c r="J29" s="84"/>
      <c r="K29" s="84"/>
      <c r="L29" s="84"/>
      <c r="M29" s="84"/>
      <c r="N29" s="84"/>
      <c r="O29" s="135"/>
    </row>
    <row r="30" spans="2:15">
      <c r="B30" s="144" t="s">
        <v>241</v>
      </c>
      <c r="C30" s="134">
        <v>0</v>
      </c>
      <c r="D30" s="84">
        <v>0</v>
      </c>
      <c r="E30" s="84">
        <v>0</v>
      </c>
      <c r="F30" s="84"/>
      <c r="G30" s="84"/>
      <c r="H30" s="84"/>
      <c r="I30" s="84"/>
      <c r="J30" s="84"/>
      <c r="K30" s="84"/>
      <c r="L30" s="84"/>
      <c r="M30" s="84"/>
      <c r="N30" s="84"/>
      <c r="O30" s="135"/>
    </row>
    <row r="31" spans="2:15">
      <c r="B31" s="145" t="s">
        <v>242</v>
      </c>
      <c r="C31" s="138">
        <v>0</v>
      </c>
      <c r="D31" s="122">
        <v>0</v>
      </c>
      <c r="E31" s="122">
        <v>0</v>
      </c>
      <c r="F31" s="122"/>
      <c r="G31" s="122"/>
      <c r="H31" s="122"/>
      <c r="I31" s="122"/>
      <c r="J31" s="122"/>
      <c r="K31" s="122"/>
      <c r="L31" s="122"/>
      <c r="M31" s="122"/>
      <c r="N31" s="122"/>
      <c r="O31" s="139"/>
    </row>
    <row r="32" spans="2:15">
      <c r="B32" s="96"/>
      <c r="C32" s="96"/>
      <c r="D32" s="96"/>
      <c r="E32" s="96"/>
      <c r="F32" s="96"/>
      <c r="G32" s="96"/>
      <c r="H32" s="96"/>
      <c r="I32" s="96"/>
      <c r="J32" s="96"/>
      <c r="K32" s="96"/>
      <c r="L32" s="96"/>
      <c r="M32" s="96"/>
      <c r="N32" s="96"/>
      <c r="O32" s="9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5A03E-5096-4337-92A3-24224C69AEFA}">
  <dimension ref="B1:M32"/>
  <sheetViews>
    <sheetView workbookViewId="0">
      <selection activeCell="Q21" sqref="Q21"/>
    </sheetView>
  </sheetViews>
  <sheetFormatPr baseColWidth="10" defaultRowHeight="15"/>
  <cols>
    <col min="2" max="2" width="32" bestFit="1" customWidth="1"/>
    <col min="3" max="3" width="9" bestFit="1" customWidth="1"/>
    <col min="4" max="4" width="12.42578125" bestFit="1" customWidth="1"/>
    <col min="5" max="5" width="13" bestFit="1" customWidth="1"/>
    <col min="6" max="6" width="11.85546875" customWidth="1"/>
    <col min="7" max="7" width="9" bestFit="1" customWidth="1"/>
    <col min="8" max="8" width="11.85546875" bestFit="1" customWidth="1"/>
    <col min="9" max="10" width="7.42578125" bestFit="1" customWidth="1"/>
    <col min="11" max="11" width="7.28515625" bestFit="1" customWidth="1"/>
    <col min="12" max="12" width="14.7109375" customWidth="1"/>
  </cols>
  <sheetData>
    <row r="1" spans="2:13" ht="15.75" thickBot="1"/>
    <row r="2" spans="2:13" ht="30" customHeight="1" thickBot="1">
      <c r="B2" s="111" t="s">
        <v>252</v>
      </c>
      <c r="C2" s="112" t="s">
        <v>245</v>
      </c>
      <c r="D2" s="113" t="s">
        <v>246</v>
      </c>
      <c r="E2" s="113" t="s">
        <v>248</v>
      </c>
      <c r="F2" s="113" t="s">
        <v>247</v>
      </c>
      <c r="G2" s="113" t="s">
        <v>243</v>
      </c>
      <c r="H2" s="113" t="s">
        <v>244</v>
      </c>
      <c r="I2" s="113" t="s">
        <v>249</v>
      </c>
      <c r="J2" s="113" t="s">
        <v>250</v>
      </c>
      <c r="K2" s="113" t="s">
        <v>251</v>
      </c>
      <c r="L2" s="140" t="s">
        <v>262</v>
      </c>
      <c r="M2" s="114" t="s">
        <v>213</v>
      </c>
    </row>
    <row r="3" spans="2:13">
      <c r="B3" s="115" t="s">
        <v>214</v>
      </c>
      <c r="C3" s="108">
        <v>4.0280000000000003E-2</v>
      </c>
      <c r="D3" s="106">
        <v>800</v>
      </c>
      <c r="E3" s="106"/>
      <c r="F3" s="106">
        <v>5.1999999999999998E-3</v>
      </c>
      <c r="G3" s="106">
        <v>0.8</v>
      </c>
      <c r="H3" s="106">
        <v>0.8</v>
      </c>
      <c r="I3" s="106">
        <v>1</v>
      </c>
      <c r="J3" s="106">
        <v>0</v>
      </c>
      <c r="K3" s="106">
        <v>0</v>
      </c>
      <c r="L3" s="106">
        <v>1</v>
      </c>
      <c r="M3" s="107"/>
    </row>
    <row r="4" spans="2:13">
      <c r="B4" s="116" t="s">
        <v>215</v>
      </c>
      <c r="C4" s="109">
        <v>4.0280000000000003E-2</v>
      </c>
      <c r="D4" s="102">
        <v>800</v>
      </c>
      <c r="E4" s="102"/>
      <c r="F4" s="102">
        <v>5.1999999999999998E-3</v>
      </c>
      <c r="G4" s="102">
        <v>0.8</v>
      </c>
      <c r="H4" s="102">
        <v>0.8</v>
      </c>
      <c r="I4" s="102">
        <v>-1</v>
      </c>
      <c r="J4" s="102">
        <v>0</v>
      </c>
      <c r="K4" s="102">
        <v>0</v>
      </c>
      <c r="L4" s="102">
        <v>1</v>
      </c>
      <c r="M4" s="104"/>
    </row>
    <row r="5" spans="2:13">
      <c r="B5" s="116" t="s">
        <v>216</v>
      </c>
      <c r="C5" s="109">
        <v>7.2909999999999997E-3</v>
      </c>
      <c r="D5" s="102">
        <v>800</v>
      </c>
      <c r="E5" s="102"/>
      <c r="F5" s="102">
        <v>2.0999999999999999E-3</v>
      </c>
      <c r="G5" s="102">
        <v>0.8</v>
      </c>
      <c r="H5" s="102">
        <v>0.8</v>
      </c>
      <c r="I5" s="102">
        <v>0</v>
      </c>
      <c r="J5" s="102">
        <v>-1</v>
      </c>
      <c r="K5" s="102">
        <v>1</v>
      </c>
      <c r="L5" s="102">
        <v>1</v>
      </c>
      <c r="M5" s="104"/>
    </row>
    <row r="6" spans="2:13">
      <c r="B6" s="116" t="s">
        <v>217</v>
      </c>
      <c r="C6" s="109">
        <v>7.2909999999999997E-3</v>
      </c>
      <c r="D6" s="102">
        <v>800</v>
      </c>
      <c r="E6" s="102"/>
      <c r="F6" s="102">
        <v>2.0999999999999999E-3</v>
      </c>
      <c r="G6" s="102">
        <v>0.8</v>
      </c>
      <c r="H6" s="102">
        <v>0.8</v>
      </c>
      <c r="I6" s="102">
        <v>0</v>
      </c>
      <c r="J6" s="102">
        <v>1</v>
      </c>
      <c r="K6" s="102">
        <v>1</v>
      </c>
      <c r="L6" s="102">
        <v>1</v>
      </c>
      <c r="M6" s="104"/>
    </row>
    <row r="7" spans="2:13">
      <c r="B7" s="116" t="s">
        <v>218</v>
      </c>
      <c r="C7" s="109">
        <v>6.4250000000000002E-3</v>
      </c>
      <c r="D7" s="102">
        <v>800</v>
      </c>
      <c r="E7" s="102"/>
      <c r="F7" s="102">
        <v>2.0999999999999999E-3</v>
      </c>
      <c r="G7" s="102">
        <v>0.8</v>
      </c>
      <c r="H7" s="102">
        <v>0.8</v>
      </c>
      <c r="I7" s="102">
        <v>0</v>
      </c>
      <c r="J7" s="102">
        <v>1</v>
      </c>
      <c r="K7" s="102">
        <v>-1</v>
      </c>
      <c r="L7" s="102">
        <v>1</v>
      </c>
      <c r="M7" s="104"/>
    </row>
    <row r="8" spans="2:13">
      <c r="B8" s="116" t="s">
        <v>219</v>
      </c>
      <c r="C8" s="109">
        <v>6.4250000000000002E-3</v>
      </c>
      <c r="D8" s="102">
        <v>800</v>
      </c>
      <c r="E8" s="102"/>
      <c r="F8" s="102">
        <v>2.0999999999999999E-3</v>
      </c>
      <c r="G8" s="102">
        <v>0.8</v>
      </c>
      <c r="H8" s="102">
        <v>0.8</v>
      </c>
      <c r="I8" s="102">
        <v>0</v>
      </c>
      <c r="J8" s="102">
        <v>-1</v>
      </c>
      <c r="K8" s="102">
        <v>-1</v>
      </c>
      <c r="L8" s="102">
        <v>1</v>
      </c>
      <c r="M8" s="104"/>
    </row>
    <row r="9" spans="2:13">
      <c r="B9" s="116" t="s">
        <v>220</v>
      </c>
      <c r="C9" s="109">
        <v>2.1919999999999999E-2</v>
      </c>
      <c r="D9" s="102">
        <v>800</v>
      </c>
      <c r="E9" s="102"/>
      <c r="F9" s="102">
        <v>9.5999999999999992E-3</v>
      </c>
      <c r="G9" s="102">
        <v>0.8</v>
      </c>
      <c r="H9" s="102">
        <v>0.8</v>
      </c>
      <c r="I9" s="102">
        <v>0</v>
      </c>
      <c r="J9" s="102">
        <v>0</v>
      </c>
      <c r="K9" s="102">
        <v>1</v>
      </c>
      <c r="L9" s="102">
        <v>1</v>
      </c>
      <c r="M9" s="104"/>
    </row>
    <row r="10" spans="2:13">
      <c r="B10" s="116" t="s">
        <v>221</v>
      </c>
      <c r="C10" s="109">
        <v>1.8E-3</v>
      </c>
      <c r="D10" s="102">
        <v>800</v>
      </c>
      <c r="E10" s="102"/>
      <c r="F10" s="102">
        <v>5.7600000000000001E-4</v>
      </c>
      <c r="G10" s="102">
        <v>0.8</v>
      </c>
      <c r="H10" s="102">
        <v>0.8</v>
      </c>
      <c r="I10" s="102">
        <v>0</v>
      </c>
      <c r="J10" s="102">
        <v>0</v>
      </c>
      <c r="K10" s="102">
        <v>1</v>
      </c>
      <c r="L10" s="102">
        <v>1</v>
      </c>
      <c r="M10" s="104"/>
    </row>
    <row r="11" spans="2:13">
      <c r="B11" s="116" t="s">
        <v>222</v>
      </c>
      <c r="C11" s="109">
        <v>1.8E-3</v>
      </c>
      <c r="D11" s="102">
        <v>800</v>
      </c>
      <c r="E11" s="102"/>
      <c r="F11" s="102">
        <v>5.7600000000000001E-4</v>
      </c>
      <c r="G11" s="102">
        <v>0.8</v>
      </c>
      <c r="H11" s="102">
        <v>0.8</v>
      </c>
      <c r="I11" s="102">
        <v>0</v>
      </c>
      <c r="J11" s="102">
        <v>0</v>
      </c>
      <c r="K11" s="102">
        <v>1</v>
      </c>
      <c r="L11" s="102">
        <v>1</v>
      </c>
      <c r="M11" s="104"/>
    </row>
    <row r="12" spans="2:13">
      <c r="B12" s="116" t="s">
        <v>223</v>
      </c>
      <c r="C12" s="109">
        <v>1.8E-3</v>
      </c>
      <c r="D12" s="102">
        <v>800</v>
      </c>
      <c r="E12" s="102"/>
      <c r="F12" s="102">
        <v>5.7600000000000001E-4</v>
      </c>
      <c r="G12" s="102">
        <v>0.8</v>
      </c>
      <c r="H12" s="102">
        <v>0.8</v>
      </c>
      <c r="I12" s="102">
        <v>0</v>
      </c>
      <c r="J12" s="102">
        <v>0</v>
      </c>
      <c r="K12" s="102">
        <v>1</v>
      </c>
      <c r="L12" s="102">
        <v>1</v>
      </c>
      <c r="M12" s="104"/>
    </row>
    <row r="13" spans="2:13">
      <c r="B13" s="116" t="s">
        <v>224</v>
      </c>
      <c r="C13" s="109">
        <v>1.8E-3</v>
      </c>
      <c r="D13" s="102">
        <v>800</v>
      </c>
      <c r="E13" s="102"/>
      <c r="F13" s="102">
        <v>5.7600000000000001E-4</v>
      </c>
      <c r="G13" s="102">
        <v>0.8</v>
      </c>
      <c r="H13" s="102">
        <v>0.8</v>
      </c>
      <c r="I13" s="102">
        <v>0</v>
      </c>
      <c r="J13" s="102">
        <v>0</v>
      </c>
      <c r="K13" s="102">
        <v>1</v>
      </c>
      <c r="L13" s="102">
        <v>1</v>
      </c>
      <c r="M13" s="104"/>
    </row>
    <row r="14" spans="2:13">
      <c r="B14" s="116" t="s">
        <v>225</v>
      </c>
      <c r="C14" s="109">
        <v>2.375E-2</v>
      </c>
      <c r="D14" s="102">
        <v>600</v>
      </c>
      <c r="E14" s="102"/>
      <c r="F14" s="102">
        <v>0.01</v>
      </c>
      <c r="G14" s="102"/>
      <c r="H14" s="102"/>
      <c r="I14" s="102"/>
      <c r="J14" s="102"/>
      <c r="K14" s="102"/>
      <c r="L14" s="102">
        <v>0</v>
      </c>
      <c r="M14" s="104"/>
    </row>
    <row r="15" spans="2:13">
      <c r="B15" s="116" t="s">
        <v>226</v>
      </c>
      <c r="C15" s="109">
        <v>0.125</v>
      </c>
      <c r="D15" s="102">
        <v>800</v>
      </c>
      <c r="E15" s="102"/>
      <c r="F15" s="102">
        <v>0.01</v>
      </c>
      <c r="G15" s="102"/>
      <c r="H15" s="102"/>
      <c r="I15" s="102"/>
      <c r="J15" s="102"/>
      <c r="K15" s="102"/>
      <c r="L15" s="102">
        <v>0</v>
      </c>
      <c r="M15" s="104"/>
    </row>
    <row r="16" spans="2:13">
      <c r="B16" s="116" t="s">
        <v>227</v>
      </c>
      <c r="C16" s="109">
        <v>3.9E-2</v>
      </c>
      <c r="D16" s="102">
        <v>600</v>
      </c>
      <c r="E16" s="102"/>
      <c r="F16" s="102">
        <v>0.01</v>
      </c>
      <c r="G16" s="102"/>
      <c r="H16" s="102"/>
      <c r="I16" s="102"/>
      <c r="J16" s="102"/>
      <c r="K16" s="102"/>
      <c r="L16" s="102">
        <v>0</v>
      </c>
      <c r="M16" s="104"/>
    </row>
    <row r="17" spans="2:13">
      <c r="B17" s="116" t="s">
        <v>228</v>
      </c>
      <c r="C17" s="109">
        <v>3.9E-2</v>
      </c>
      <c r="D17" s="102">
        <v>600</v>
      </c>
      <c r="E17" s="102"/>
      <c r="F17" s="102">
        <v>0.1</v>
      </c>
      <c r="G17" s="102"/>
      <c r="H17" s="102"/>
      <c r="I17" s="102"/>
      <c r="J17" s="102"/>
      <c r="K17" s="102"/>
      <c r="L17" s="102">
        <v>0</v>
      </c>
      <c r="M17" s="104"/>
    </row>
    <row r="18" spans="2:13">
      <c r="B18" s="116" t="s">
        <v>229</v>
      </c>
      <c r="C18" s="109">
        <v>3.9E-2</v>
      </c>
      <c r="D18" s="102">
        <v>600</v>
      </c>
      <c r="E18" s="102"/>
      <c r="F18" s="102">
        <v>0.1</v>
      </c>
      <c r="G18" s="102"/>
      <c r="H18" s="102"/>
      <c r="I18" s="102"/>
      <c r="J18" s="102"/>
      <c r="K18" s="102"/>
      <c r="L18" s="102">
        <v>0</v>
      </c>
      <c r="M18" s="104"/>
    </row>
    <row r="19" spans="2:13">
      <c r="B19" s="116" t="s">
        <v>230</v>
      </c>
      <c r="C19" s="109">
        <v>3.9E-2</v>
      </c>
      <c r="D19" s="102">
        <v>600</v>
      </c>
      <c r="E19" s="102"/>
      <c r="F19" s="102">
        <v>0.1</v>
      </c>
      <c r="G19" s="102"/>
      <c r="H19" s="102"/>
      <c r="I19" s="102"/>
      <c r="J19" s="102"/>
      <c r="K19" s="102"/>
      <c r="L19" s="102">
        <v>0</v>
      </c>
      <c r="M19" s="104"/>
    </row>
    <row r="20" spans="2:13">
      <c r="B20" s="116" t="s">
        <v>231</v>
      </c>
      <c r="C20" s="109">
        <v>0.05</v>
      </c>
      <c r="D20" s="102">
        <v>600</v>
      </c>
      <c r="E20" s="102"/>
      <c r="F20" s="102">
        <v>0.1</v>
      </c>
      <c r="G20" s="102"/>
      <c r="H20" s="102"/>
      <c r="I20" s="102"/>
      <c r="J20" s="102"/>
      <c r="K20" s="102"/>
      <c r="L20" s="102">
        <v>0</v>
      </c>
      <c r="M20" s="104"/>
    </row>
    <row r="21" spans="2:13">
      <c r="B21" s="116" t="s">
        <v>232</v>
      </c>
      <c r="C21" s="109">
        <v>0.05</v>
      </c>
      <c r="D21" s="102">
        <v>600</v>
      </c>
      <c r="E21" s="102"/>
      <c r="F21" s="102">
        <v>0.1</v>
      </c>
      <c r="G21" s="102"/>
      <c r="H21" s="102"/>
      <c r="I21" s="102"/>
      <c r="J21" s="102"/>
      <c r="K21" s="102"/>
      <c r="L21" s="102">
        <v>0</v>
      </c>
      <c r="M21" s="104"/>
    </row>
    <row r="22" spans="2:13">
      <c r="B22" s="116" t="s">
        <v>233</v>
      </c>
      <c r="C22" s="109">
        <v>3.8490000000000003E-2</v>
      </c>
      <c r="D22" s="102">
        <v>600</v>
      </c>
      <c r="E22" s="102"/>
      <c r="F22" s="102">
        <v>8.6E-3</v>
      </c>
      <c r="G22" s="102"/>
      <c r="H22" s="102"/>
      <c r="I22" s="102"/>
      <c r="J22" s="102"/>
      <c r="K22" s="102"/>
      <c r="L22" s="102">
        <v>0</v>
      </c>
      <c r="M22" s="104"/>
    </row>
    <row r="23" spans="2:13">
      <c r="B23" s="116" t="s">
        <v>234</v>
      </c>
      <c r="C23" s="109">
        <v>7.4999999999999997E-2</v>
      </c>
      <c r="D23" s="102">
        <v>600</v>
      </c>
      <c r="E23" s="102"/>
      <c r="F23" s="102">
        <v>8.6E-3</v>
      </c>
      <c r="G23" s="102"/>
      <c r="H23" s="102"/>
      <c r="I23" s="102"/>
      <c r="J23" s="102"/>
      <c r="K23" s="102"/>
      <c r="L23" s="102">
        <v>0</v>
      </c>
      <c r="M23" s="104"/>
    </row>
    <row r="24" spans="2:13">
      <c r="B24" s="116" t="s">
        <v>235</v>
      </c>
      <c r="C24" s="109">
        <v>8.5000000000000006E-2</v>
      </c>
      <c r="D24" s="102">
        <v>600</v>
      </c>
      <c r="E24" s="102">
        <v>15</v>
      </c>
      <c r="F24" s="102">
        <v>0.08</v>
      </c>
      <c r="G24" s="102"/>
      <c r="H24" s="102"/>
      <c r="I24" s="102"/>
      <c r="J24" s="102"/>
      <c r="K24" s="102"/>
      <c r="L24" s="102">
        <v>0</v>
      </c>
      <c r="M24" s="104">
        <v>0.7</v>
      </c>
    </row>
    <row r="25" spans="2:13">
      <c r="B25" s="116" t="s">
        <v>236</v>
      </c>
      <c r="C25" s="109">
        <v>2.4E-2</v>
      </c>
      <c r="D25" s="102">
        <v>600</v>
      </c>
      <c r="E25" s="102"/>
      <c r="F25" s="102">
        <v>0.33</v>
      </c>
      <c r="G25" s="102"/>
      <c r="H25" s="102"/>
      <c r="I25" s="102"/>
      <c r="J25" s="102"/>
      <c r="K25" s="102"/>
      <c r="L25" s="102">
        <v>0</v>
      </c>
      <c r="M25" s="104"/>
    </row>
    <row r="26" spans="2:13">
      <c r="B26" s="116" t="s">
        <v>237</v>
      </c>
      <c r="C26" s="109">
        <v>5.2999999999999999E-2</v>
      </c>
      <c r="D26" s="102">
        <v>600</v>
      </c>
      <c r="E26" s="102">
        <v>15</v>
      </c>
      <c r="F26" s="102">
        <v>8.0940000000000005E-3</v>
      </c>
      <c r="G26" s="102">
        <v>0.8</v>
      </c>
      <c r="H26" s="102">
        <v>0.8</v>
      </c>
      <c r="I26" s="102">
        <v>0</v>
      </c>
      <c r="J26" s="102">
        <v>1</v>
      </c>
      <c r="K26" s="102">
        <v>0</v>
      </c>
      <c r="L26" s="102">
        <v>1</v>
      </c>
      <c r="M26" s="104">
        <v>2.2000000000000001E-3</v>
      </c>
    </row>
    <row r="27" spans="2:13">
      <c r="B27" s="116" t="s">
        <v>238</v>
      </c>
      <c r="C27" s="109">
        <v>4.3999999999999997E-2</v>
      </c>
      <c r="D27" s="102">
        <v>600</v>
      </c>
      <c r="E27" s="102">
        <v>15</v>
      </c>
      <c r="F27" s="102">
        <v>8.0940000000000005E-3</v>
      </c>
      <c r="G27" s="102">
        <v>0.8</v>
      </c>
      <c r="H27" s="102">
        <v>0.8</v>
      </c>
      <c r="I27" s="102">
        <v>0</v>
      </c>
      <c r="J27" s="102">
        <v>-1</v>
      </c>
      <c r="K27" s="102">
        <v>0</v>
      </c>
      <c r="L27" s="102">
        <v>1</v>
      </c>
      <c r="M27" s="104">
        <v>2.2000000000000001E-3</v>
      </c>
    </row>
    <row r="28" spans="2:13">
      <c r="B28" s="116" t="s">
        <v>239</v>
      </c>
      <c r="C28" s="109">
        <v>4.4999999999999998E-2</v>
      </c>
      <c r="D28" s="102">
        <v>600</v>
      </c>
      <c r="E28" s="102">
        <v>15</v>
      </c>
      <c r="F28" s="102">
        <v>8.0940000000000005E-3</v>
      </c>
      <c r="G28" s="102">
        <v>0.8</v>
      </c>
      <c r="H28" s="102">
        <v>0.8</v>
      </c>
      <c r="I28" s="102">
        <v>1</v>
      </c>
      <c r="J28" s="102">
        <v>0</v>
      </c>
      <c r="K28" s="102">
        <v>0</v>
      </c>
      <c r="L28" s="102">
        <v>1</v>
      </c>
      <c r="M28" s="104">
        <v>2.2000000000000001E-3</v>
      </c>
    </row>
    <row r="29" spans="2:13">
      <c r="B29" s="116" t="s">
        <v>240</v>
      </c>
      <c r="C29" s="109">
        <v>5.2999999999999999E-2</v>
      </c>
      <c r="D29" s="102">
        <v>600</v>
      </c>
      <c r="E29" s="102">
        <v>15</v>
      </c>
      <c r="F29" s="102">
        <v>8.0940000000000005E-3</v>
      </c>
      <c r="G29" s="102">
        <v>0.8</v>
      </c>
      <c r="H29" s="102">
        <v>0.8</v>
      </c>
      <c r="I29" s="102">
        <v>-1</v>
      </c>
      <c r="J29" s="102">
        <v>0</v>
      </c>
      <c r="K29" s="102">
        <v>0</v>
      </c>
      <c r="L29" s="102">
        <v>1</v>
      </c>
      <c r="M29" s="104">
        <v>2.2000000000000001E-3</v>
      </c>
    </row>
    <row r="30" spans="2:13">
      <c r="B30" s="116" t="s">
        <v>241</v>
      </c>
      <c r="C30" s="109">
        <v>5.7500000000000002E-2</v>
      </c>
      <c r="D30" s="102">
        <v>600</v>
      </c>
      <c r="E30" s="102">
        <v>15</v>
      </c>
      <c r="F30" s="102">
        <v>8.4469999999999996E-3</v>
      </c>
      <c r="G30" s="102">
        <v>0.8</v>
      </c>
      <c r="H30" s="102">
        <v>0.8</v>
      </c>
      <c r="I30" s="102">
        <v>0</v>
      </c>
      <c r="J30" s="102">
        <v>0</v>
      </c>
      <c r="K30" s="102">
        <v>-1</v>
      </c>
      <c r="L30" s="102">
        <v>1</v>
      </c>
      <c r="M30" s="104">
        <v>2.2000000000000001E-3</v>
      </c>
    </row>
    <row r="31" spans="2:13" ht="15.75" thickBot="1">
      <c r="B31" s="117" t="s">
        <v>242</v>
      </c>
      <c r="C31" s="110">
        <v>0.04</v>
      </c>
      <c r="D31" s="103">
        <v>600</v>
      </c>
      <c r="E31" s="103"/>
      <c r="F31" s="103">
        <v>0.01</v>
      </c>
      <c r="G31" s="103"/>
      <c r="H31" s="103"/>
      <c r="I31" s="103"/>
      <c r="J31" s="103"/>
      <c r="K31" s="103"/>
      <c r="L31" s="103">
        <v>0</v>
      </c>
      <c r="M31" s="105"/>
    </row>
    <row r="32" spans="2:13">
      <c r="B32" s="80"/>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990"/>
  <sheetViews>
    <sheetView workbookViewId="0">
      <pane xSplit="1" ySplit="4" topLeftCell="B5" activePane="bottomRight" state="frozen"/>
      <selection pane="topRight" activeCell="B1" sqref="B1"/>
      <selection pane="bottomLeft" activeCell="A5" sqref="A5"/>
      <selection pane="bottomRight" activeCell="AE19" sqref="AE19"/>
    </sheetView>
  </sheetViews>
  <sheetFormatPr baseColWidth="10" defaultColWidth="14.42578125" defaultRowHeight="15" customHeight="1"/>
  <cols>
    <col min="1" max="1" width="20.42578125" customWidth="1"/>
    <col min="2" max="10" width="7" customWidth="1"/>
    <col min="11" max="30" width="8.140625" customWidth="1"/>
  </cols>
  <sheetData>
    <row r="1" spans="1:30">
      <c r="A1" s="20" t="s">
        <v>143</v>
      </c>
      <c r="B1" s="21"/>
      <c r="C1" s="21"/>
      <c r="D1" s="21"/>
      <c r="E1" s="21"/>
      <c r="F1" s="21"/>
      <c r="G1" s="21"/>
      <c r="H1" s="21"/>
      <c r="I1" s="21"/>
      <c r="J1" s="21"/>
      <c r="K1" s="21"/>
      <c r="L1" s="21"/>
      <c r="M1" s="21"/>
      <c r="N1" s="21"/>
      <c r="O1" s="21"/>
      <c r="P1" s="21"/>
      <c r="Q1" s="21"/>
      <c r="R1" s="21"/>
      <c r="S1" s="21"/>
      <c r="T1" s="21"/>
      <c r="U1" s="21"/>
      <c r="V1" s="21"/>
      <c r="W1" s="21"/>
      <c r="X1" s="21"/>
      <c r="Y1" s="21"/>
      <c r="Z1" s="21"/>
      <c r="AA1" s="21"/>
      <c r="AB1" s="21"/>
      <c r="AC1" s="21"/>
      <c r="AD1" s="21"/>
    </row>
    <row r="2" spans="1:30">
      <c r="A2" s="20" t="s">
        <v>144</v>
      </c>
      <c r="B2" s="21"/>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row>
    <row r="3" spans="1:30">
      <c r="A3" s="21"/>
      <c r="B3" s="21"/>
      <c r="C3" s="21"/>
      <c r="D3" s="21"/>
      <c r="E3" s="21"/>
      <c r="F3" s="21"/>
      <c r="G3" s="21"/>
      <c r="H3" s="21"/>
      <c r="I3" s="21"/>
      <c r="J3" s="21"/>
      <c r="K3" s="21"/>
      <c r="L3" s="21"/>
      <c r="M3" s="21"/>
      <c r="N3" s="21"/>
      <c r="O3" s="21"/>
      <c r="P3" s="21"/>
      <c r="Q3" s="21"/>
      <c r="R3" s="21"/>
      <c r="S3" s="21"/>
      <c r="T3" s="21"/>
      <c r="U3" s="21"/>
      <c r="V3" s="21"/>
      <c r="W3" s="21"/>
      <c r="X3" s="21"/>
      <c r="Y3" s="21"/>
      <c r="Z3" s="21"/>
      <c r="AA3" s="21"/>
      <c r="AB3" s="21"/>
      <c r="AC3" s="21"/>
      <c r="AD3" s="21"/>
    </row>
    <row r="4" spans="1:30">
      <c r="A4" s="22" t="s">
        <v>145</v>
      </c>
      <c r="B4" s="23" t="s">
        <v>25</v>
      </c>
      <c r="C4" s="23" t="s">
        <v>32</v>
      </c>
      <c r="D4" s="23" t="s">
        <v>36</v>
      </c>
      <c r="E4" s="23" t="s">
        <v>41</v>
      </c>
      <c r="F4" s="23" t="s">
        <v>46</v>
      </c>
      <c r="G4" s="23" t="s">
        <v>51</v>
      </c>
      <c r="H4" s="23" t="s">
        <v>56</v>
      </c>
      <c r="I4" s="23" t="s">
        <v>61</v>
      </c>
      <c r="J4" s="23" t="s">
        <v>67</v>
      </c>
      <c r="K4" s="23" t="s">
        <v>69</v>
      </c>
      <c r="L4" s="23" t="s">
        <v>71</v>
      </c>
      <c r="M4" s="23" t="s">
        <v>73</v>
      </c>
      <c r="N4" s="23" t="s">
        <v>78</v>
      </c>
      <c r="O4" s="23" t="s">
        <v>83</v>
      </c>
      <c r="P4" s="23" t="s">
        <v>87</v>
      </c>
      <c r="Q4" s="23" t="s">
        <v>89</v>
      </c>
      <c r="R4" s="23" t="s">
        <v>91</v>
      </c>
      <c r="S4" s="23" t="s">
        <v>93</v>
      </c>
      <c r="T4" s="23" t="s">
        <v>97</v>
      </c>
      <c r="U4" s="23" t="s">
        <v>99</v>
      </c>
      <c r="V4" s="23" t="s">
        <v>103</v>
      </c>
      <c r="W4" s="23" t="s">
        <v>107</v>
      </c>
      <c r="X4" s="23" t="s">
        <v>112</v>
      </c>
      <c r="Y4" s="23" t="s">
        <v>116</v>
      </c>
      <c r="Z4" s="23" t="s">
        <v>122</v>
      </c>
      <c r="AA4" s="23" t="s">
        <v>127</v>
      </c>
      <c r="AB4" s="23" t="s">
        <v>131</v>
      </c>
      <c r="AC4" s="23" t="s">
        <v>134</v>
      </c>
      <c r="AD4" s="23" t="s">
        <v>139</v>
      </c>
    </row>
    <row r="5" spans="1:30">
      <c r="A5" s="22" t="s">
        <v>25</v>
      </c>
      <c r="B5" s="24">
        <v>0</v>
      </c>
      <c r="C5" s="25">
        <v>0</v>
      </c>
      <c r="D5" s="26">
        <f>'Conductances determination'!$B$18</f>
        <v>0.37037037037037035</v>
      </c>
      <c r="E5" s="26">
        <f>'Conductances determination'!$B$18</f>
        <v>0.37037037037037035</v>
      </c>
      <c r="F5" s="26">
        <f>'Conductances determination'!$B$18</f>
        <v>0.37037037037037035</v>
      </c>
      <c r="G5" s="26">
        <f>'Conductances determination'!$B$18</f>
        <v>0.37037037037037035</v>
      </c>
      <c r="H5" s="26">
        <f>'Conductances determination'!$B$25</f>
        <v>0.24262</v>
      </c>
      <c r="I5" s="25">
        <v>0</v>
      </c>
      <c r="J5" s="25">
        <v>0</v>
      </c>
      <c r="K5" s="25">
        <v>0</v>
      </c>
      <c r="L5" s="25">
        <v>0</v>
      </c>
      <c r="M5" s="25">
        <v>0</v>
      </c>
      <c r="N5" s="25">
        <v>0</v>
      </c>
      <c r="O5" s="25">
        <v>0</v>
      </c>
      <c r="P5" s="25">
        <v>0</v>
      </c>
      <c r="Q5" s="25">
        <v>0</v>
      </c>
      <c r="R5" s="25">
        <v>0</v>
      </c>
      <c r="S5" s="25">
        <v>0</v>
      </c>
      <c r="T5" s="25">
        <v>0</v>
      </c>
      <c r="U5" s="25">
        <v>0</v>
      </c>
      <c r="V5" s="25">
        <v>0</v>
      </c>
      <c r="W5" s="26">
        <f>'Conductances determination'!$B$25</f>
        <v>0.24262</v>
      </c>
      <c r="X5" s="25">
        <v>0</v>
      </c>
      <c r="Y5" s="26">
        <v>0</v>
      </c>
      <c r="Z5" s="26">
        <v>0</v>
      </c>
      <c r="AA5" s="26">
        <f>'Conductances determination'!$B$37</f>
        <v>0.3673094582185491</v>
      </c>
      <c r="AB5" s="25">
        <v>0</v>
      </c>
      <c r="AC5" s="26">
        <v>0</v>
      </c>
      <c r="AD5" s="26">
        <v>0</v>
      </c>
    </row>
    <row r="6" spans="1:30">
      <c r="A6" s="22" t="s">
        <v>32</v>
      </c>
      <c r="B6" s="27">
        <f>C5</f>
        <v>0</v>
      </c>
      <c r="C6" s="24">
        <v>0</v>
      </c>
      <c r="D6" s="26">
        <f>'Conductances determination'!$B$18</f>
        <v>0.37037037037037035</v>
      </c>
      <c r="E6" s="26">
        <f>'Conductances determination'!$B$18</f>
        <v>0.37037037037037035</v>
      </c>
      <c r="F6" s="26">
        <f>'Conductances determination'!$B$18</f>
        <v>0.37037037037037035</v>
      </c>
      <c r="G6" s="26">
        <f>'Conductances determination'!$B$18</f>
        <v>0.37037037037037035</v>
      </c>
      <c r="H6" s="26">
        <f>'Conductances determination'!$B$25</f>
        <v>0.24262</v>
      </c>
      <c r="I6" s="25">
        <v>0</v>
      </c>
      <c r="J6" s="25">
        <v>0</v>
      </c>
      <c r="K6" s="25">
        <v>0</v>
      </c>
      <c r="L6" s="25">
        <v>0</v>
      </c>
      <c r="M6" s="25">
        <v>0</v>
      </c>
      <c r="N6" s="25">
        <v>0</v>
      </c>
      <c r="O6" s="25">
        <v>0</v>
      </c>
      <c r="P6" s="25">
        <v>0</v>
      </c>
      <c r="Q6" s="25">
        <v>0</v>
      </c>
      <c r="R6" s="25">
        <v>0</v>
      </c>
      <c r="S6" s="25">
        <v>0</v>
      </c>
      <c r="T6" s="25">
        <v>0</v>
      </c>
      <c r="U6" s="25">
        <v>0</v>
      </c>
      <c r="V6" s="25">
        <v>0</v>
      </c>
      <c r="W6" s="26">
        <f>'Conductances determination'!$B$25</f>
        <v>0.24262</v>
      </c>
      <c r="X6" s="25">
        <v>0</v>
      </c>
      <c r="Y6" s="26">
        <v>0</v>
      </c>
      <c r="Z6" s="26">
        <v>0</v>
      </c>
      <c r="AA6" s="25">
        <v>0</v>
      </c>
      <c r="AB6" s="26">
        <f>'Conductances determination'!$B$37</f>
        <v>0.3673094582185491</v>
      </c>
      <c r="AC6" s="26">
        <v>0</v>
      </c>
      <c r="AD6" s="26">
        <v>0</v>
      </c>
    </row>
    <row r="7" spans="1:30">
      <c r="A7" s="22" t="s">
        <v>36</v>
      </c>
      <c r="B7" s="27">
        <f>D5</f>
        <v>0.37037037037037035</v>
      </c>
      <c r="C7" s="27">
        <f>D6</f>
        <v>0.37037037037037035</v>
      </c>
      <c r="D7" s="24">
        <v>0</v>
      </c>
      <c r="E7" s="25">
        <v>0</v>
      </c>
      <c r="F7" s="25">
        <v>0</v>
      </c>
      <c r="G7" s="25">
        <v>0</v>
      </c>
      <c r="H7" s="26">
        <f>'Conductances determination'!$B$49</f>
        <v>0.18365472910927455</v>
      </c>
      <c r="I7" s="25">
        <v>0</v>
      </c>
      <c r="J7" s="25">
        <v>0</v>
      </c>
      <c r="K7" s="25">
        <v>0</v>
      </c>
      <c r="L7" s="25">
        <v>0</v>
      </c>
      <c r="M7" s="26">
        <v>0</v>
      </c>
      <c r="N7" s="26">
        <f>'Conductances determination'!$B$108</f>
        <v>0.18365472910927455</v>
      </c>
      <c r="O7" s="25">
        <v>0</v>
      </c>
      <c r="P7" s="25">
        <v>0</v>
      </c>
      <c r="Q7" s="25">
        <v>0</v>
      </c>
      <c r="R7" s="25">
        <v>0</v>
      </c>
      <c r="S7" s="25">
        <v>0</v>
      </c>
      <c r="T7" s="25">
        <v>0</v>
      </c>
      <c r="U7" s="26">
        <v>0</v>
      </c>
      <c r="V7" s="26">
        <v>0</v>
      </c>
      <c r="W7" s="25">
        <v>0</v>
      </c>
      <c r="X7" s="26">
        <v>0</v>
      </c>
      <c r="Y7" s="25">
        <v>0</v>
      </c>
      <c r="Z7" s="26">
        <f>'Conductances determination'!$B$61</f>
        <v>0.18365472910927455</v>
      </c>
      <c r="AA7" s="25">
        <v>0</v>
      </c>
      <c r="AB7" s="25">
        <v>0</v>
      </c>
      <c r="AC7" s="25">
        <v>0</v>
      </c>
      <c r="AD7" s="26">
        <v>0</v>
      </c>
    </row>
    <row r="8" spans="1:30">
      <c r="A8" s="22" t="s">
        <v>41</v>
      </c>
      <c r="B8" s="27">
        <f>E5</f>
        <v>0.37037037037037035</v>
      </c>
      <c r="C8" s="27">
        <f>E6</f>
        <v>0.37037037037037035</v>
      </c>
      <c r="D8" s="27">
        <f>E7</f>
        <v>0</v>
      </c>
      <c r="E8" s="24">
        <v>0</v>
      </c>
      <c r="F8" s="25">
        <v>0</v>
      </c>
      <c r="G8" s="25">
        <v>0</v>
      </c>
      <c r="H8" s="26">
        <f>'Conductances determination'!$B$49</f>
        <v>0.18365472910927455</v>
      </c>
      <c r="I8" s="25">
        <v>0</v>
      </c>
      <c r="J8" s="25">
        <v>0</v>
      </c>
      <c r="K8" s="25">
        <v>0</v>
      </c>
      <c r="L8" s="25">
        <v>0</v>
      </c>
      <c r="M8" s="26">
        <v>0</v>
      </c>
      <c r="N8" s="26">
        <f>'Conductances determination'!$B$108</f>
        <v>0.18365472910927455</v>
      </c>
      <c r="O8" s="25">
        <v>0</v>
      </c>
      <c r="P8" s="25">
        <v>0</v>
      </c>
      <c r="Q8" s="25">
        <v>0</v>
      </c>
      <c r="R8" s="25">
        <v>0</v>
      </c>
      <c r="S8" s="25">
        <v>0</v>
      </c>
      <c r="T8" s="25">
        <v>0</v>
      </c>
      <c r="U8" s="26">
        <v>0</v>
      </c>
      <c r="V8" s="26">
        <v>0</v>
      </c>
      <c r="W8" s="25">
        <v>0</v>
      </c>
      <c r="X8" s="26">
        <v>0</v>
      </c>
      <c r="Y8" s="26">
        <f>'Conductances determination'!$B$61</f>
        <v>0.18365472910927455</v>
      </c>
      <c r="Z8" s="26">
        <v>0</v>
      </c>
      <c r="AA8" s="25">
        <v>0</v>
      </c>
      <c r="AB8" s="25">
        <v>0</v>
      </c>
      <c r="AC8" s="25">
        <v>0</v>
      </c>
      <c r="AD8" s="26">
        <v>0</v>
      </c>
    </row>
    <row r="9" spans="1:30">
      <c r="A9" s="22" t="s">
        <v>46</v>
      </c>
      <c r="B9" s="27">
        <f>F5</f>
        <v>0.37037037037037035</v>
      </c>
      <c r="C9" s="27">
        <f>F6</f>
        <v>0.37037037037037035</v>
      </c>
      <c r="D9" s="27">
        <f>F7</f>
        <v>0</v>
      </c>
      <c r="E9" s="27">
        <f>F8</f>
        <v>0</v>
      </c>
      <c r="F9" s="24">
        <v>0</v>
      </c>
      <c r="G9" s="25">
        <v>0</v>
      </c>
      <c r="H9" s="25">
        <v>0</v>
      </c>
      <c r="I9" s="25">
        <v>0</v>
      </c>
      <c r="J9" s="25">
        <v>0</v>
      </c>
      <c r="K9" s="25">
        <v>0</v>
      </c>
      <c r="L9" s="25">
        <v>0</v>
      </c>
      <c r="M9" s="26">
        <v>0</v>
      </c>
      <c r="N9" s="26">
        <v>0</v>
      </c>
      <c r="O9" s="25">
        <v>0</v>
      </c>
      <c r="P9" s="25">
        <v>0</v>
      </c>
      <c r="Q9" s="25">
        <v>0</v>
      </c>
      <c r="R9" s="25">
        <v>0</v>
      </c>
      <c r="S9" s="25">
        <v>0</v>
      </c>
      <c r="T9" s="25">
        <v>0</v>
      </c>
      <c r="U9" s="26">
        <v>0</v>
      </c>
      <c r="V9" s="26">
        <f>'Conductances determination'!$B$108</f>
        <v>0.18365472910927455</v>
      </c>
      <c r="W9" s="26">
        <f>'Conductances determination'!$B$49</f>
        <v>0.18365472910927455</v>
      </c>
      <c r="X9" s="26">
        <v>0</v>
      </c>
      <c r="Y9" s="26">
        <f>'Conductances determination'!$B$61</f>
        <v>0.18365472910927455</v>
      </c>
      <c r="Z9" s="25">
        <v>0</v>
      </c>
      <c r="AA9" s="25">
        <v>0</v>
      </c>
      <c r="AB9" s="25">
        <v>0</v>
      </c>
      <c r="AC9" s="26">
        <v>0</v>
      </c>
      <c r="AD9" s="26">
        <v>0</v>
      </c>
    </row>
    <row r="10" spans="1:30">
      <c r="A10" s="22" t="s">
        <v>51</v>
      </c>
      <c r="B10" s="27">
        <f>G5</f>
        <v>0.37037037037037035</v>
      </c>
      <c r="C10" s="27">
        <f>G6</f>
        <v>0.37037037037037035</v>
      </c>
      <c r="D10" s="27">
        <f>G7</f>
        <v>0</v>
      </c>
      <c r="E10" s="27">
        <f>G8</f>
        <v>0</v>
      </c>
      <c r="F10" s="27">
        <f>G9</f>
        <v>0</v>
      </c>
      <c r="G10" s="24">
        <v>0</v>
      </c>
      <c r="H10" s="25">
        <v>0</v>
      </c>
      <c r="I10" s="25">
        <v>0</v>
      </c>
      <c r="J10" s="25">
        <v>0</v>
      </c>
      <c r="K10" s="25">
        <v>0</v>
      </c>
      <c r="L10" s="25">
        <v>0</v>
      </c>
      <c r="M10" s="26">
        <v>0</v>
      </c>
      <c r="N10" s="26">
        <v>0</v>
      </c>
      <c r="O10" s="25">
        <v>0</v>
      </c>
      <c r="P10" s="25">
        <v>0</v>
      </c>
      <c r="Q10" s="25">
        <v>0</v>
      </c>
      <c r="R10" s="25">
        <v>0</v>
      </c>
      <c r="S10" s="25">
        <v>0</v>
      </c>
      <c r="T10" s="25">
        <v>0</v>
      </c>
      <c r="U10" s="26">
        <v>0</v>
      </c>
      <c r="V10" s="26">
        <f>'Conductances determination'!$B$108</f>
        <v>0.18365472910927455</v>
      </c>
      <c r="W10" s="26">
        <f>'Conductances determination'!$B$49</f>
        <v>0.18365472910927455</v>
      </c>
      <c r="X10" s="26">
        <v>0</v>
      </c>
      <c r="Y10" s="25">
        <v>0</v>
      </c>
      <c r="Z10" s="26">
        <f>'Conductances determination'!$B$61</f>
        <v>0.18365472910927455</v>
      </c>
      <c r="AA10" s="25">
        <v>0</v>
      </c>
      <c r="AB10" s="25">
        <v>0</v>
      </c>
      <c r="AC10" s="26">
        <v>0</v>
      </c>
      <c r="AD10" s="26">
        <v>0</v>
      </c>
    </row>
    <row r="11" spans="1:30">
      <c r="A11" s="22" t="s">
        <v>56</v>
      </c>
      <c r="B11" s="27">
        <f>H5</f>
        <v>0.24262</v>
      </c>
      <c r="C11" s="27">
        <f>H6</f>
        <v>0.24262</v>
      </c>
      <c r="D11" s="27">
        <f>H7</f>
        <v>0.18365472910927455</v>
      </c>
      <c r="E11" s="27">
        <f>H8</f>
        <v>0.18365472910927455</v>
      </c>
      <c r="F11" s="27">
        <f>H9</f>
        <v>0</v>
      </c>
      <c r="G11" s="27">
        <f>H10</f>
        <v>0</v>
      </c>
      <c r="H11" s="24">
        <v>0</v>
      </c>
      <c r="I11" s="26">
        <f>'Conductances determination'!$B$86</f>
        <v>5.6836547291092749</v>
      </c>
      <c r="J11" s="26">
        <f>'Conductances determination'!$B$86</f>
        <v>5.6836547291092749</v>
      </c>
      <c r="K11" s="26">
        <f>'Conductances determination'!$B$86</f>
        <v>5.6836547291092749</v>
      </c>
      <c r="L11" s="26">
        <f>'Conductances determination'!$B$86</f>
        <v>5.6836547291092749</v>
      </c>
      <c r="M11" s="25">
        <v>0</v>
      </c>
      <c r="N11" s="25">
        <v>0</v>
      </c>
      <c r="O11" s="25">
        <v>0</v>
      </c>
      <c r="P11" s="25">
        <v>0</v>
      </c>
      <c r="Q11" s="25">
        <v>0</v>
      </c>
      <c r="R11" s="25">
        <v>0</v>
      </c>
      <c r="S11" s="25">
        <v>0</v>
      </c>
      <c r="T11" s="25">
        <v>0</v>
      </c>
      <c r="U11" s="25">
        <v>0</v>
      </c>
      <c r="V11" s="25">
        <v>0</v>
      </c>
      <c r="W11" s="25">
        <v>0</v>
      </c>
      <c r="X11" s="25">
        <v>0</v>
      </c>
      <c r="Y11" s="25">
        <v>0</v>
      </c>
      <c r="Z11" s="25">
        <v>0</v>
      </c>
      <c r="AA11" s="25">
        <v>0</v>
      </c>
      <c r="AB11" s="25">
        <v>0</v>
      </c>
      <c r="AC11" s="25">
        <v>0</v>
      </c>
      <c r="AD11" s="26">
        <f>'Conductances determination'!$B$73</f>
        <v>0.26367831245880025</v>
      </c>
    </row>
    <row r="12" spans="1:30">
      <c r="A12" s="22" t="s">
        <v>61</v>
      </c>
      <c r="B12" s="27">
        <f>I5</f>
        <v>0</v>
      </c>
      <c r="C12" s="27">
        <f>I6</f>
        <v>0</v>
      </c>
      <c r="D12" s="27">
        <f>I7</f>
        <v>0</v>
      </c>
      <c r="E12" s="27">
        <f>I8</f>
        <v>0</v>
      </c>
      <c r="F12" s="27">
        <f>I9</f>
        <v>0</v>
      </c>
      <c r="G12" s="27">
        <f>I10</f>
        <v>0</v>
      </c>
      <c r="H12" s="27">
        <f>I11</f>
        <v>5.6836547291092749</v>
      </c>
      <c r="I12" s="24">
        <v>0</v>
      </c>
      <c r="J12" s="25">
        <v>0</v>
      </c>
      <c r="K12" s="25">
        <v>0</v>
      </c>
      <c r="L12" s="25">
        <v>0</v>
      </c>
      <c r="M12" s="26">
        <v>0</v>
      </c>
      <c r="N12" s="25">
        <v>0</v>
      </c>
      <c r="O12" s="25">
        <v>0</v>
      </c>
      <c r="P12" s="25">
        <v>0</v>
      </c>
      <c r="Q12" s="25">
        <v>0</v>
      </c>
      <c r="R12" s="25">
        <v>0</v>
      </c>
      <c r="S12" s="25">
        <v>0</v>
      </c>
      <c r="T12" s="25">
        <v>0</v>
      </c>
      <c r="U12" s="25">
        <v>0</v>
      </c>
      <c r="V12" s="25">
        <v>0</v>
      </c>
      <c r="W12" s="25">
        <v>0</v>
      </c>
      <c r="X12" s="25">
        <v>0</v>
      </c>
      <c r="Y12" s="25">
        <v>0</v>
      </c>
      <c r="Z12" s="25">
        <v>0</v>
      </c>
      <c r="AA12" s="25">
        <v>0</v>
      </c>
      <c r="AB12" s="25">
        <v>0</v>
      </c>
      <c r="AC12" s="25">
        <v>0</v>
      </c>
      <c r="AD12" s="26">
        <v>0</v>
      </c>
    </row>
    <row r="13" spans="1:30">
      <c r="A13" s="22" t="s">
        <v>67</v>
      </c>
      <c r="B13" s="27">
        <f>J5</f>
        <v>0</v>
      </c>
      <c r="C13" s="27">
        <f>J6</f>
        <v>0</v>
      </c>
      <c r="D13" s="27">
        <f>J7</f>
        <v>0</v>
      </c>
      <c r="E13" s="27">
        <f>J8</f>
        <v>0</v>
      </c>
      <c r="F13" s="27">
        <f>J9</f>
        <v>0</v>
      </c>
      <c r="G13" s="27">
        <f>J10</f>
        <v>0</v>
      </c>
      <c r="H13" s="27">
        <f>J11</f>
        <v>5.6836547291092749</v>
      </c>
      <c r="I13" s="27">
        <f>J12</f>
        <v>0</v>
      </c>
      <c r="J13" s="24">
        <v>0</v>
      </c>
      <c r="K13" s="25">
        <v>0</v>
      </c>
      <c r="L13" s="25">
        <v>0</v>
      </c>
      <c r="M13" s="26">
        <v>0</v>
      </c>
      <c r="N13" s="25">
        <v>0</v>
      </c>
      <c r="O13" s="25">
        <v>0</v>
      </c>
      <c r="P13" s="25">
        <v>0</v>
      </c>
      <c r="Q13" s="25">
        <v>0</v>
      </c>
      <c r="R13" s="25">
        <v>0</v>
      </c>
      <c r="S13" s="25">
        <v>0</v>
      </c>
      <c r="T13" s="25">
        <v>0</v>
      </c>
      <c r="U13" s="25">
        <v>0</v>
      </c>
      <c r="V13" s="25">
        <v>0</v>
      </c>
      <c r="W13" s="25">
        <v>0</v>
      </c>
      <c r="X13" s="25">
        <v>0</v>
      </c>
      <c r="Y13" s="25">
        <v>0</v>
      </c>
      <c r="Z13" s="25">
        <v>0</v>
      </c>
      <c r="AA13" s="25">
        <v>0</v>
      </c>
      <c r="AB13" s="25">
        <v>0</v>
      </c>
      <c r="AC13" s="25">
        <v>0</v>
      </c>
      <c r="AD13" s="26">
        <v>0</v>
      </c>
    </row>
    <row r="14" spans="1:30">
      <c r="A14" s="22" t="s">
        <v>69</v>
      </c>
      <c r="B14" s="27">
        <f>K5</f>
        <v>0</v>
      </c>
      <c r="C14" s="27">
        <f>K6</f>
        <v>0</v>
      </c>
      <c r="D14" s="27">
        <f>K7</f>
        <v>0</v>
      </c>
      <c r="E14" s="27">
        <f>K8</f>
        <v>0</v>
      </c>
      <c r="F14" s="27">
        <f>K9</f>
        <v>0</v>
      </c>
      <c r="G14" s="27">
        <f>K10</f>
        <v>0</v>
      </c>
      <c r="H14" s="27">
        <f>K11</f>
        <v>5.6836547291092749</v>
      </c>
      <c r="I14" s="27">
        <f>K12</f>
        <v>0</v>
      </c>
      <c r="J14" s="27">
        <f>K13</f>
        <v>0</v>
      </c>
      <c r="K14" s="24">
        <v>0</v>
      </c>
      <c r="L14" s="25">
        <v>0</v>
      </c>
      <c r="M14" s="26">
        <v>0</v>
      </c>
      <c r="N14" s="25">
        <v>0</v>
      </c>
      <c r="O14" s="25">
        <v>0</v>
      </c>
      <c r="P14" s="25">
        <v>0</v>
      </c>
      <c r="Q14" s="25">
        <v>0</v>
      </c>
      <c r="R14" s="25">
        <v>0</v>
      </c>
      <c r="S14" s="25">
        <v>0</v>
      </c>
      <c r="T14" s="25">
        <v>0</v>
      </c>
      <c r="U14" s="25">
        <v>0</v>
      </c>
      <c r="V14" s="25">
        <v>0</v>
      </c>
      <c r="W14" s="25">
        <v>0</v>
      </c>
      <c r="X14" s="25">
        <v>0</v>
      </c>
      <c r="Y14" s="25">
        <v>0</v>
      </c>
      <c r="Z14" s="25">
        <v>0</v>
      </c>
      <c r="AA14" s="25">
        <v>0</v>
      </c>
      <c r="AB14" s="25">
        <v>0</v>
      </c>
      <c r="AC14" s="25">
        <v>0</v>
      </c>
      <c r="AD14" s="26">
        <v>0</v>
      </c>
    </row>
    <row r="15" spans="1:30" ht="15.75" customHeight="1">
      <c r="A15" s="22" t="s">
        <v>71</v>
      </c>
      <c r="B15" s="27">
        <f>L5</f>
        <v>0</v>
      </c>
      <c r="C15" s="27">
        <f>L6</f>
        <v>0</v>
      </c>
      <c r="D15" s="27">
        <f>L7</f>
        <v>0</v>
      </c>
      <c r="E15" s="27">
        <f>L8</f>
        <v>0</v>
      </c>
      <c r="F15" s="27">
        <f>L9</f>
        <v>0</v>
      </c>
      <c r="G15" s="27">
        <f>L10</f>
        <v>0</v>
      </c>
      <c r="H15" s="27">
        <f>L11</f>
        <v>5.6836547291092749</v>
      </c>
      <c r="I15" s="27">
        <f>L12</f>
        <v>0</v>
      </c>
      <c r="J15" s="27">
        <f>L13</f>
        <v>0</v>
      </c>
      <c r="K15" s="27">
        <f>L14</f>
        <v>0</v>
      </c>
      <c r="L15" s="24">
        <v>0</v>
      </c>
      <c r="M15" s="26">
        <v>0</v>
      </c>
      <c r="N15" s="25">
        <v>0</v>
      </c>
      <c r="O15" s="25">
        <v>0</v>
      </c>
      <c r="P15" s="25">
        <v>0</v>
      </c>
      <c r="Q15" s="25">
        <v>0</v>
      </c>
      <c r="R15" s="25">
        <v>0</v>
      </c>
      <c r="S15" s="25">
        <v>0</v>
      </c>
      <c r="T15" s="25">
        <v>0</v>
      </c>
      <c r="U15" s="25">
        <v>0</v>
      </c>
      <c r="V15" s="25">
        <v>0</v>
      </c>
      <c r="W15" s="25">
        <v>0</v>
      </c>
      <c r="X15" s="25">
        <v>0</v>
      </c>
      <c r="Y15" s="25">
        <v>0</v>
      </c>
      <c r="Z15" s="25">
        <v>0</v>
      </c>
      <c r="AA15" s="25">
        <v>0</v>
      </c>
      <c r="AB15" s="25">
        <v>0</v>
      </c>
      <c r="AC15" s="25">
        <v>0</v>
      </c>
      <c r="AD15" s="26">
        <v>0</v>
      </c>
    </row>
    <row r="16" spans="1:30" ht="15.75" customHeight="1">
      <c r="A16" s="22" t="s">
        <v>73</v>
      </c>
      <c r="B16" s="27">
        <f>M5</f>
        <v>0</v>
      </c>
      <c r="C16" s="27">
        <f>M6</f>
        <v>0</v>
      </c>
      <c r="D16" s="27">
        <f>M7</f>
        <v>0</v>
      </c>
      <c r="E16" s="27">
        <f>M8</f>
        <v>0</v>
      </c>
      <c r="F16" s="27">
        <f>M9</f>
        <v>0</v>
      </c>
      <c r="G16" s="27">
        <f>M10</f>
        <v>0</v>
      </c>
      <c r="H16" s="27">
        <f>M11</f>
        <v>0</v>
      </c>
      <c r="I16" s="27">
        <f>M12</f>
        <v>0</v>
      </c>
      <c r="J16" s="27">
        <f>M13</f>
        <v>0</v>
      </c>
      <c r="K16" s="27">
        <f>M14</f>
        <v>0</v>
      </c>
      <c r="L16" s="27">
        <f>M15</f>
        <v>0</v>
      </c>
      <c r="M16" s="24">
        <v>0</v>
      </c>
      <c r="N16" s="26">
        <f>'Conductances determination'!$B$97</f>
        <v>0.3673094582185491</v>
      </c>
      <c r="O16" s="25">
        <v>0</v>
      </c>
      <c r="P16" s="25">
        <v>0</v>
      </c>
      <c r="Q16" s="25">
        <v>0</v>
      </c>
      <c r="R16" s="25">
        <v>0</v>
      </c>
      <c r="S16" s="25">
        <v>0</v>
      </c>
      <c r="T16" s="25">
        <v>0</v>
      </c>
      <c r="U16" s="25">
        <v>0</v>
      </c>
      <c r="V16" s="25">
        <v>0</v>
      </c>
      <c r="W16" s="25">
        <v>0</v>
      </c>
      <c r="X16" s="25">
        <v>0</v>
      </c>
      <c r="Y16" s="25">
        <v>0</v>
      </c>
      <c r="Z16" s="25">
        <v>0</v>
      </c>
      <c r="AA16" s="25">
        <v>0</v>
      </c>
      <c r="AB16" s="25">
        <v>0</v>
      </c>
      <c r="AC16" s="25">
        <v>0</v>
      </c>
      <c r="AD16" s="26">
        <v>0</v>
      </c>
    </row>
    <row r="17" spans="1:30" ht="15.75" customHeight="1">
      <c r="A17" s="22" t="s">
        <v>78</v>
      </c>
      <c r="B17" s="27">
        <f>N5</f>
        <v>0</v>
      </c>
      <c r="C17" s="27">
        <f>N6</f>
        <v>0</v>
      </c>
      <c r="D17" s="27">
        <f>N7</f>
        <v>0.18365472910927455</v>
      </c>
      <c r="E17" s="27">
        <f>N8</f>
        <v>0.18365472910927455</v>
      </c>
      <c r="F17" s="27">
        <f>N9</f>
        <v>0</v>
      </c>
      <c r="G17" s="27">
        <f>N10</f>
        <v>0</v>
      </c>
      <c r="H17" s="27">
        <f>N11</f>
        <v>0</v>
      </c>
      <c r="I17" s="27">
        <f>N12</f>
        <v>0</v>
      </c>
      <c r="J17" s="27">
        <f>N13</f>
        <v>0</v>
      </c>
      <c r="K17" s="27">
        <f>N14</f>
        <v>0</v>
      </c>
      <c r="L17" s="27">
        <f>N15</f>
        <v>0</v>
      </c>
      <c r="M17" s="27">
        <f>N16</f>
        <v>0.3673094582185491</v>
      </c>
      <c r="N17" s="24">
        <v>0</v>
      </c>
      <c r="O17" s="26">
        <f>'Conductances determination'!$B$115</f>
        <v>37.57</v>
      </c>
      <c r="P17" s="26">
        <f>'Conductances determination'!$B$115</f>
        <v>37.57</v>
      </c>
      <c r="Q17" s="26">
        <f>'Conductances determination'!$B$115</f>
        <v>37.57</v>
      </c>
      <c r="R17" s="26">
        <f>'Conductances determination'!$B$115</f>
        <v>37.57</v>
      </c>
      <c r="S17" s="26">
        <f>'Conductances determination'!$B$115</f>
        <v>37.57</v>
      </c>
      <c r="T17" s="26">
        <f>'Conductances determination'!$B$115</f>
        <v>37.57</v>
      </c>
      <c r="U17" s="26">
        <f>'Conductances determination'!$B$97</f>
        <v>0.3673094582185491</v>
      </c>
      <c r="V17" s="25">
        <v>0</v>
      </c>
      <c r="W17" s="25">
        <v>0</v>
      </c>
      <c r="X17" s="25">
        <v>0</v>
      </c>
      <c r="Y17" s="25">
        <v>0</v>
      </c>
      <c r="Z17" s="25">
        <v>0</v>
      </c>
      <c r="AA17" s="25">
        <v>0</v>
      </c>
      <c r="AB17" s="25">
        <v>0</v>
      </c>
      <c r="AC17" s="25">
        <v>0</v>
      </c>
      <c r="AD17" s="26">
        <v>0</v>
      </c>
    </row>
    <row r="18" spans="1:30" ht="15.75" customHeight="1">
      <c r="A18" s="22" t="s">
        <v>83</v>
      </c>
      <c r="B18" s="27">
        <f>O5</f>
        <v>0</v>
      </c>
      <c r="C18" s="27">
        <f>O6</f>
        <v>0</v>
      </c>
      <c r="D18" s="27">
        <f>O7</f>
        <v>0</v>
      </c>
      <c r="E18" s="27">
        <f>O8</f>
        <v>0</v>
      </c>
      <c r="F18" s="27">
        <f>O9</f>
        <v>0</v>
      </c>
      <c r="G18" s="27">
        <f>O10</f>
        <v>0</v>
      </c>
      <c r="H18" s="27">
        <f>O11</f>
        <v>0</v>
      </c>
      <c r="I18" s="27">
        <f>O12</f>
        <v>0</v>
      </c>
      <c r="J18" s="27">
        <f>O13</f>
        <v>0</v>
      </c>
      <c r="K18" s="27">
        <f>O14</f>
        <v>0</v>
      </c>
      <c r="L18" s="27">
        <f>O15</f>
        <v>0</v>
      </c>
      <c r="M18" s="27">
        <f>O16</f>
        <v>0</v>
      </c>
      <c r="N18" s="27">
        <f>O17</f>
        <v>37.57</v>
      </c>
      <c r="O18" s="24">
        <v>0</v>
      </c>
      <c r="P18" s="25">
        <v>0</v>
      </c>
      <c r="Q18" s="25">
        <v>0</v>
      </c>
      <c r="R18" s="25">
        <v>0</v>
      </c>
      <c r="S18" s="25">
        <v>0</v>
      </c>
      <c r="T18" s="25">
        <v>0</v>
      </c>
      <c r="U18" s="25">
        <v>0</v>
      </c>
      <c r="V18" s="25">
        <v>0</v>
      </c>
      <c r="W18" s="25">
        <v>0</v>
      </c>
      <c r="X18" s="25">
        <v>0</v>
      </c>
      <c r="Y18" s="25">
        <v>0</v>
      </c>
      <c r="Z18" s="25">
        <v>0</v>
      </c>
      <c r="AA18" s="25">
        <v>0</v>
      </c>
      <c r="AB18" s="25">
        <v>0</v>
      </c>
      <c r="AC18" s="25">
        <v>0</v>
      </c>
      <c r="AD18" s="26">
        <v>0</v>
      </c>
    </row>
    <row r="19" spans="1:30" ht="15.75" customHeight="1">
      <c r="A19" s="22" t="s">
        <v>87</v>
      </c>
      <c r="B19" s="27">
        <f>P5</f>
        <v>0</v>
      </c>
      <c r="C19" s="27">
        <f>P6</f>
        <v>0</v>
      </c>
      <c r="D19" s="27">
        <f>P7</f>
        <v>0</v>
      </c>
      <c r="E19" s="27">
        <f>P8</f>
        <v>0</v>
      </c>
      <c r="F19" s="27">
        <f>P9</f>
        <v>0</v>
      </c>
      <c r="G19" s="27">
        <f>P10</f>
        <v>0</v>
      </c>
      <c r="H19" s="27">
        <f>P11</f>
        <v>0</v>
      </c>
      <c r="I19" s="27">
        <f>P12</f>
        <v>0</v>
      </c>
      <c r="J19" s="27">
        <f>P13</f>
        <v>0</v>
      </c>
      <c r="K19" s="27">
        <f>P14</f>
        <v>0</v>
      </c>
      <c r="L19" s="27">
        <f>P15</f>
        <v>0</v>
      </c>
      <c r="M19" s="27">
        <f>P16</f>
        <v>0</v>
      </c>
      <c r="N19" s="27">
        <f>P17</f>
        <v>37.57</v>
      </c>
      <c r="O19" s="27">
        <f>P18</f>
        <v>0</v>
      </c>
      <c r="P19" s="24">
        <v>0</v>
      </c>
      <c r="Q19" s="25">
        <v>0</v>
      </c>
      <c r="R19" s="25">
        <v>0</v>
      </c>
      <c r="S19" s="25">
        <v>0</v>
      </c>
      <c r="T19" s="25">
        <v>0</v>
      </c>
      <c r="U19" s="25">
        <v>0</v>
      </c>
      <c r="V19" s="25">
        <v>0</v>
      </c>
      <c r="W19" s="25">
        <v>0</v>
      </c>
      <c r="X19" s="25">
        <v>0</v>
      </c>
      <c r="Y19" s="25">
        <v>0</v>
      </c>
      <c r="Z19" s="25">
        <v>0</v>
      </c>
      <c r="AA19" s="25">
        <v>0</v>
      </c>
      <c r="AB19" s="25">
        <v>0</v>
      </c>
      <c r="AC19" s="25">
        <v>0</v>
      </c>
      <c r="AD19" s="26">
        <v>0</v>
      </c>
    </row>
    <row r="20" spans="1:30" ht="15.75" customHeight="1">
      <c r="A20" s="22" t="s">
        <v>89</v>
      </c>
      <c r="B20" s="27">
        <f>Q5</f>
        <v>0</v>
      </c>
      <c r="C20" s="27">
        <f>Q6</f>
        <v>0</v>
      </c>
      <c r="D20" s="27">
        <f>Q7</f>
        <v>0</v>
      </c>
      <c r="E20" s="27">
        <f>Q8</f>
        <v>0</v>
      </c>
      <c r="F20" s="27">
        <f>Q9</f>
        <v>0</v>
      </c>
      <c r="G20" s="27">
        <f>Q10</f>
        <v>0</v>
      </c>
      <c r="H20" s="27">
        <f>Q11</f>
        <v>0</v>
      </c>
      <c r="I20" s="27">
        <f>Q12</f>
        <v>0</v>
      </c>
      <c r="J20" s="27">
        <f>Q13</f>
        <v>0</v>
      </c>
      <c r="K20" s="27">
        <f>Q14</f>
        <v>0</v>
      </c>
      <c r="L20" s="27">
        <f>Q15</f>
        <v>0</v>
      </c>
      <c r="M20" s="27">
        <f>Q16</f>
        <v>0</v>
      </c>
      <c r="N20" s="27">
        <f>Q17</f>
        <v>37.57</v>
      </c>
      <c r="O20" s="27">
        <f>Q18</f>
        <v>0</v>
      </c>
      <c r="P20" s="27">
        <f>Q19</f>
        <v>0</v>
      </c>
      <c r="Q20" s="24">
        <v>0</v>
      </c>
      <c r="R20" s="25">
        <v>0</v>
      </c>
      <c r="S20" s="25">
        <v>0</v>
      </c>
      <c r="T20" s="25">
        <v>0</v>
      </c>
      <c r="U20" s="25">
        <v>0</v>
      </c>
      <c r="V20" s="25">
        <v>0</v>
      </c>
      <c r="W20" s="25">
        <v>0</v>
      </c>
      <c r="X20" s="25">
        <v>0</v>
      </c>
      <c r="Y20" s="25">
        <v>0</v>
      </c>
      <c r="Z20" s="25">
        <v>0</v>
      </c>
      <c r="AA20" s="25">
        <v>0</v>
      </c>
      <c r="AB20" s="25">
        <v>0</v>
      </c>
      <c r="AC20" s="25">
        <v>0</v>
      </c>
      <c r="AD20" s="26">
        <v>0</v>
      </c>
    </row>
    <row r="21" spans="1:30" ht="15.75" customHeight="1">
      <c r="A21" s="22" t="s">
        <v>91</v>
      </c>
      <c r="B21" s="27">
        <f>R5</f>
        <v>0</v>
      </c>
      <c r="C21" s="27">
        <f>R6</f>
        <v>0</v>
      </c>
      <c r="D21" s="27">
        <f>R7</f>
        <v>0</v>
      </c>
      <c r="E21" s="27">
        <f>R8</f>
        <v>0</v>
      </c>
      <c r="F21" s="27">
        <f>R9</f>
        <v>0</v>
      </c>
      <c r="G21" s="27">
        <f>R10</f>
        <v>0</v>
      </c>
      <c r="H21" s="27">
        <f>R11</f>
        <v>0</v>
      </c>
      <c r="I21" s="27">
        <f>R12</f>
        <v>0</v>
      </c>
      <c r="J21" s="27">
        <f>R13</f>
        <v>0</v>
      </c>
      <c r="K21" s="27">
        <f>R14</f>
        <v>0</v>
      </c>
      <c r="L21" s="27">
        <f>R15</f>
        <v>0</v>
      </c>
      <c r="M21" s="27">
        <f>R16</f>
        <v>0</v>
      </c>
      <c r="N21" s="27">
        <f>R17</f>
        <v>37.57</v>
      </c>
      <c r="O21" s="27">
        <f>R18</f>
        <v>0</v>
      </c>
      <c r="P21" s="27">
        <f>R19</f>
        <v>0</v>
      </c>
      <c r="Q21" s="27">
        <f>R20</f>
        <v>0</v>
      </c>
      <c r="R21" s="24">
        <v>0</v>
      </c>
      <c r="S21" s="25">
        <v>0</v>
      </c>
      <c r="T21" s="25">
        <v>0</v>
      </c>
      <c r="U21" s="25">
        <v>0</v>
      </c>
      <c r="V21" s="25">
        <v>0</v>
      </c>
      <c r="W21" s="25">
        <v>0</v>
      </c>
      <c r="X21" s="25">
        <v>0</v>
      </c>
      <c r="Y21" s="25">
        <v>0</v>
      </c>
      <c r="Z21" s="25">
        <v>0</v>
      </c>
      <c r="AA21" s="25">
        <v>0</v>
      </c>
      <c r="AB21" s="25">
        <v>0</v>
      </c>
      <c r="AC21" s="25">
        <v>0</v>
      </c>
      <c r="AD21" s="26">
        <v>0</v>
      </c>
    </row>
    <row r="22" spans="1:30" ht="15.75" customHeight="1">
      <c r="A22" s="22" t="s">
        <v>93</v>
      </c>
      <c r="B22" s="27">
        <f>S5</f>
        <v>0</v>
      </c>
      <c r="C22" s="27">
        <f>S6</f>
        <v>0</v>
      </c>
      <c r="D22" s="27">
        <f>S7</f>
        <v>0</v>
      </c>
      <c r="E22" s="27">
        <f>S8</f>
        <v>0</v>
      </c>
      <c r="F22" s="27">
        <f>S9</f>
        <v>0</v>
      </c>
      <c r="G22" s="27">
        <f>S10</f>
        <v>0</v>
      </c>
      <c r="H22" s="27">
        <f>S11</f>
        <v>0</v>
      </c>
      <c r="I22" s="27">
        <f>S12</f>
        <v>0</v>
      </c>
      <c r="J22" s="27">
        <f>S13</f>
        <v>0</v>
      </c>
      <c r="K22" s="27">
        <f>S14</f>
        <v>0</v>
      </c>
      <c r="L22" s="27">
        <f>S15</f>
        <v>0</v>
      </c>
      <c r="M22" s="27">
        <f>S16</f>
        <v>0</v>
      </c>
      <c r="N22" s="27">
        <f>S17</f>
        <v>37.57</v>
      </c>
      <c r="O22" s="27">
        <f>S18</f>
        <v>0</v>
      </c>
      <c r="P22" s="27">
        <f>S19</f>
        <v>0</v>
      </c>
      <c r="Q22" s="27">
        <f>S20</f>
        <v>0</v>
      </c>
      <c r="R22" s="27">
        <f>S21</f>
        <v>0</v>
      </c>
      <c r="S22" s="24">
        <v>0</v>
      </c>
      <c r="T22" s="25">
        <v>0</v>
      </c>
      <c r="U22" s="25">
        <v>0</v>
      </c>
      <c r="V22" s="25">
        <v>0</v>
      </c>
      <c r="W22" s="25">
        <v>0</v>
      </c>
      <c r="X22" s="25">
        <v>0</v>
      </c>
      <c r="Y22" s="25">
        <v>0</v>
      </c>
      <c r="Z22" s="25">
        <v>0</v>
      </c>
      <c r="AA22" s="25">
        <v>0</v>
      </c>
      <c r="AB22" s="25">
        <v>0</v>
      </c>
      <c r="AC22" s="25">
        <v>0</v>
      </c>
      <c r="AD22" s="26">
        <v>0</v>
      </c>
    </row>
    <row r="23" spans="1:30" ht="15.75" customHeight="1">
      <c r="A23" s="22" t="s">
        <v>97</v>
      </c>
      <c r="B23" s="27">
        <f>T5</f>
        <v>0</v>
      </c>
      <c r="C23" s="27">
        <f>T6</f>
        <v>0</v>
      </c>
      <c r="D23" s="27">
        <f>T7</f>
        <v>0</v>
      </c>
      <c r="E23" s="27">
        <f>T8</f>
        <v>0</v>
      </c>
      <c r="F23" s="27">
        <f>T9</f>
        <v>0</v>
      </c>
      <c r="G23" s="27">
        <f>T10</f>
        <v>0</v>
      </c>
      <c r="H23" s="27">
        <f>T11</f>
        <v>0</v>
      </c>
      <c r="I23" s="27">
        <f>T12</f>
        <v>0</v>
      </c>
      <c r="J23" s="27">
        <f>T13</f>
        <v>0</v>
      </c>
      <c r="K23" s="27">
        <f>T14</f>
        <v>0</v>
      </c>
      <c r="L23" s="27">
        <f>T15</f>
        <v>0</v>
      </c>
      <c r="M23" s="27">
        <f>T16</f>
        <v>0</v>
      </c>
      <c r="N23" s="27">
        <f>T17</f>
        <v>37.57</v>
      </c>
      <c r="O23" s="27">
        <f>T18</f>
        <v>0</v>
      </c>
      <c r="P23" s="27">
        <f>T19</f>
        <v>0</v>
      </c>
      <c r="Q23" s="27">
        <f>T20</f>
        <v>0</v>
      </c>
      <c r="R23" s="27">
        <f>T21</f>
        <v>0</v>
      </c>
      <c r="S23" s="27">
        <f>T22</f>
        <v>0</v>
      </c>
      <c r="T23" s="24">
        <v>0</v>
      </c>
      <c r="U23" s="25">
        <v>0</v>
      </c>
      <c r="V23" s="25">
        <v>0</v>
      </c>
      <c r="W23" s="25">
        <v>0</v>
      </c>
      <c r="X23" s="25">
        <v>0</v>
      </c>
      <c r="Y23" s="25">
        <v>0</v>
      </c>
      <c r="Z23" s="25">
        <v>0</v>
      </c>
      <c r="AA23" s="25">
        <v>0</v>
      </c>
      <c r="AB23" s="25">
        <v>0</v>
      </c>
      <c r="AC23" s="25">
        <v>0</v>
      </c>
      <c r="AD23" s="26">
        <v>0</v>
      </c>
    </row>
    <row r="24" spans="1:30" ht="15.75" customHeight="1">
      <c r="A24" s="22" t="s">
        <v>99</v>
      </c>
      <c r="B24" s="27">
        <f>U5</f>
        <v>0</v>
      </c>
      <c r="C24" s="27">
        <f>U6</f>
        <v>0</v>
      </c>
      <c r="D24" s="27">
        <f>U7</f>
        <v>0</v>
      </c>
      <c r="E24" s="27">
        <f>U8</f>
        <v>0</v>
      </c>
      <c r="F24" s="27">
        <f>U9</f>
        <v>0</v>
      </c>
      <c r="G24" s="27">
        <f>U10</f>
        <v>0</v>
      </c>
      <c r="H24" s="27">
        <f>U11</f>
        <v>0</v>
      </c>
      <c r="I24" s="27">
        <f>U12</f>
        <v>0</v>
      </c>
      <c r="J24" s="27">
        <f>U13</f>
        <v>0</v>
      </c>
      <c r="K24" s="27">
        <f>U14</f>
        <v>0</v>
      </c>
      <c r="L24" s="27">
        <f>U15</f>
        <v>0</v>
      </c>
      <c r="M24" s="27">
        <f>U16</f>
        <v>0</v>
      </c>
      <c r="N24" s="27">
        <f>U17</f>
        <v>0.3673094582185491</v>
      </c>
      <c r="O24" s="27">
        <f>U18</f>
        <v>0</v>
      </c>
      <c r="P24" s="27">
        <f>U19</f>
        <v>0</v>
      </c>
      <c r="Q24" s="27">
        <f>U20</f>
        <v>0</v>
      </c>
      <c r="R24" s="27">
        <f>U21</f>
        <v>0</v>
      </c>
      <c r="S24" s="27">
        <f>U22</f>
        <v>0</v>
      </c>
      <c r="T24" s="27">
        <f>U23</f>
        <v>0</v>
      </c>
      <c r="U24" s="24">
        <v>0</v>
      </c>
      <c r="V24" s="26">
        <f>'Conductances determination'!$B$97</f>
        <v>0.3673094582185491</v>
      </c>
      <c r="W24" s="25">
        <v>0</v>
      </c>
      <c r="X24" s="26">
        <f>'Conductances determination'!$B$97</f>
        <v>0.3673094582185491</v>
      </c>
      <c r="Y24" s="25">
        <v>0</v>
      </c>
      <c r="Z24" s="25">
        <v>0</v>
      </c>
      <c r="AA24" s="25">
        <v>0</v>
      </c>
      <c r="AB24" s="25">
        <v>0</v>
      </c>
      <c r="AC24" s="25">
        <v>0</v>
      </c>
      <c r="AD24" s="26">
        <v>0</v>
      </c>
    </row>
    <row r="25" spans="1:30" ht="15.75" customHeight="1">
      <c r="A25" s="22" t="s">
        <v>103</v>
      </c>
      <c r="B25" s="27">
        <f>V5</f>
        <v>0</v>
      </c>
      <c r="C25" s="27">
        <f>V6</f>
        <v>0</v>
      </c>
      <c r="D25" s="27">
        <f>V7</f>
        <v>0</v>
      </c>
      <c r="E25" s="27">
        <f>V8</f>
        <v>0</v>
      </c>
      <c r="F25" s="27">
        <f>V9</f>
        <v>0.18365472910927455</v>
      </c>
      <c r="G25" s="27">
        <f>V10</f>
        <v>0.18365472910927455</v>
      </c>
      <c r="H25" s="27">
        <f>V11</f>
        <v>0</v>
      </c>
      <c r="I25" s="27">
        <f>V12</f>
        <v>0</v>
      </c>
      <c r="J25" s="27">
        <f>V13</f>
        <v>0</v>
      </c>
      <c r="K25" s="27">
        <f>V14</f>
        <v>0</v>
      </c>
      <c r="L25" s="27">
        <f>V15</f>
        <v>0</v>
      </c>
      <c r="M25" s="27">
        <f>V16</f>
        <v>0</v>
      </c>
      <c r="N25" s="27">
        <f>V17</f>
        <v>0</v>
      </c>
      <c r="O25" s="27">
        <f>V18</f>
        <v>0</v>
      </c>
      <c r="P25" s="27">
        <f>V19</f>
        <v>0</v>
      </c>
      <c r="Q25" s="27">
        <f>V20</f>
        <v>0</v>
      </c>
      <c r="R25" s="27">
        <f>V21</f>
        <v>0</v>
      </c>
      <c r="S25" s="27">
        <f>V22</f>
        <v>0</v>
      </c>
      <c r="T25" s="27">
        <f>V23</f>
        <v>0</v>
      </c>
      <c r="U25" s="27">
        <f>V24</f>
        <v>0.3673094582185491</v>
      </c>
      <c r="V25" s="24">
        <v>0</v>
      </c>
      <c r="W25" s="25">
        <v>0</v>
      </c>
      <c r="X25" s="25">
        <v>0</v>
      </c>
      <c r="Y25" s="25">
        <v>0</v>
      </c>
      <c r="Z25" s="25">
        <v>0</v>
      </c>
      <c r="AA25" s="25">
        <v>0</v>
      </c>
      <c r="AB25" s="25">
        <v>0</v>
      </c>
      <c r="AC25" s="25">
        <v>0</v>
      </c>
      <c r="AD25" s="26">
        <v>0</v>
      </c>
    </row>
    <row r="26" spans="1:30" ht="15.75" customHeight="1">
      <c r="A26" s="22" t="s">
        <v>107</v>
      </c>
      <c r="B26" s="27">
        <f>W5</f>
        <v>0.24262</v>
      </c>
      <c r="C26" s="27">
        <f>W6</f>
        <v>0.24262</v>
      </c>
      <c r="D26" s="27">
        <f>W7</f>
        <v>0</v>
      </c>
      <c r="E26" s="27">
        <f>W8</f>
        <v>0</v>
      </c>
      <c r="F26" s="27">
        <f>W9</f>
        <v>0.18365472910927455</v>
      </c>
      <c r="G26" s="27">
        <f>W10</f>
        <v>0.18365472910927455</v>
      </c>
      <c r="H26" s="27">
        <f>W11</f>
        <v>0</v>
      </c>
      <c r="I26" s="27">
        <f>W12</f>
        <v>0</v>
      </c>
      <c r="J26" s="27">
        <f>W13</f>
        <v>0</v>
      </c>
      <c r="K26" s="27">
        <f>W14</f>
        <v>0</v>
      </c>
      <c r="L26" s="27">
        <f>W15</f>
        <v>0</v>
      </c>
      <c r="M26" s="27">
        <f>W16</f>
        <v>0</v>
      </c>
      <c r="N26" s="27">
        <f>W17</f>
        <v>0</v>
      </c>
      <c r="O26" s="27">
        <f>W18</f>
        <v>0</v>
      </c>
      <c r="P26" s="27">
        <f>W19</f>
        <v>0</v>
      </c>
      <c r="Q26" s="27">
        <f>W20</f>
        <v>0</v>
      </c>
      <c r="R26" s="27">
        <f>W21</f>
        <v>0</v>
      </c>
      <c r="S26" s="27">
        <f>W22</f>
        <v>0</v>
      </c>
      <c r="T26" s="27">
        <f>W23</f>
        <v>0</v>
      </c>
      <c r="U26" s="27">
        <f>W24</f>
        <v>0</v>
      </c>
      <c r="V26" s="27">
        <f>W25</f>
        <v>0</v>
      </c>
      <c r="W26" s="24">
        <v>0</v>
      </c>
      <c r="X26" s="25">
        <v>0</v>
      </c>
      <c r="Y26" s="25">
        <v>0</v>
      </c>
      <c r="Z26" s="25">
        <v>0</v>
      </c>
      <c r="AA26" s="25">
        <v>0</v>
      </c>
      <c r="AB26" s="25">
        <v>0</v>
      </c>
      <c r="AC26" s="26">
        <f>'Conductances determination'!$B$127</f>
        <v>0.3673094582185491</v>
      </c>
      <c r="AD26" s="26">
        <v>0</v>
      </c>
    </row>
    <row r="27" spans="1:30" ht="15.75" customHeight="1">
      <c r="A27" s="22" t="s">
        <v>112</v>
      </c>
      <c r="B27" s="27">
        <f>X5</f>
        <v>0</v>
      </c>
      <c r="C27" s="27">
        <f>X6</f>
        <v>0</v>
      </c>
      <c r="D27" s="27">
        <f>X7</f>
        <v>0</v>
      </c>
      <c r="E27" s="27">
        <f>X8</f>
        <v>0</v>
      </c>
      <c r="F27" s="27">
        <f>X9</f>
        <v>0</v>
      </c>
      <c r="G27" s="27">
        <f>X10</f>
        <v>0</v>
      </c>
      <c r="H27" s="27">
        <f>X11</f>
        <v>0</v>
      </c>
      <c r="I27" s="27">
        <f>X12</f>
        <v>0</v>
      </c>
      <c r="J27" s="27">
        <f>X13</f>
        <v>0</v>
      </c>
      <c r="K27" s="27">
        <f>X14</f>
        <v>0</v>
      </c>
      <c r="L27" s="27">
        <f>X15</f>
        <v>0</v>
      </c>
      <c r="M27" s="27">
        <f>X16</f>
        <v>0</v>
      </c>
      <c r="N27" s="27">
        <f>X17</f>
        <v>0</v>
      </c>
      <c r="O27" s="27">
        <f>X18</f>
        <v>0</v>
      </c>
      <c r="P27" s="27">
        <f>X19</f>
        <v>0</v>
      </c>
      <c r="Q27" s="27">
        <f>X20</f>
        <v>0</v>
      </c>
      <c r="R27" s="27">
        <f>X21</f>
        <v>0</v>
      </c>
      <c r="S27" s="27">
        <f>X22</f>
        <v>0</v>
      </c>
      <c r="T27" s="27">
        <f>X23</f>
        <v>0</v>
      </c>
      <c r="U27" s="27">
        <f>X24</f>
        <v>0.3673094582185491</v>
      </c>
      <c r="V27" s="27">
        <f>X25</f>
        <v>0</v>
      </c>
      <c r="W27" s="27">
        <f>X26</f>
        <v>0</v>
      </c>
      <c r="X27" s="24">
        <v>0</v>
      </c>
      <c r="Y27" s="25">
        <v>0</v>
      </c>
      <c r="Z27" s="25">
        <v>0</v>
      </c>
      <c r="AA27" s="25">
        <v>0</v>
      </c>
      <c r="AB27" s="25">
        <v>0</v>
      </c>
      <c r="AC27" s="25">
        <v>0</v>
      </c>
      <c r="AD27" s="26">
        <v>0</v>
      </c>
    </row>
    <row r="28" spans="1:30" ht="15.75" customHeight="1">
      <c r="A28" s="22" t="s">
        <v>116</v>
      </c>
      <c r="B28" s="27">
        <f>Y5</f>
        <v>0</v>
      </c>
      <c r="C28" s="27">
        <f>Y6</f>
        <v>0</v>
      </c>
      <c r="D28" s="27">
        <f>Y7</f>
        <v>0</v>
      </c>
      <c r="E28" s="27">
        <f>Y8</f>
        <v>0.18365472910927455</v>
      </c>
      <c r="F28" s="27">
        <f>Y9</f>
        <v>0.18365472910927455</v>
      </c>
      <c r="G28" s="27">
        <f>Y10</f>
        <v>0</v>
      </c>
      <c r="H28" s="27">
        <f>Y11</f>
        <v>0</v>
      </c>
      <c r="I28" s="27">
        <f>Y12</f>
        <v>0</v>
      </c>
      <c r="J28" s="27">
        <f>Y13</f>
        <v>0</v>
      </c>
      <c r="K28" s="27">
        <f>Y14</f>
        <v>0</v>
      </c>
      <c r="L28" s="27">
        <f>Y15</f>
        <v>0</v>
      </c>
      <c r="M28" s="27">
        <f>Y16</f>
        <v>0</v>
      </c>
      <c r="N28" s="27">
        <f>Y17</f>
        <v>0</v>
      </c>
      <c r="O28" s="27">
        <f>Y18</f>
        <v>0</v>
      </c>
      <c r="P28" s="27">
        <f>Y19</f>
        <v>0</v>
      </c>
      <c r="Q28" s="27">
        <f>Y20</f>
        <v>0</v>
      </c>
      <c r="R28" s="27">
        <f>Y21</f>
        <v>0</v>
      </c>
      <c r="S28" s="27">
        <f>Y22</f>
        <v>0</v>
      </c>
      <c r="T28" s="27">
        <f>Y23</f>
        <v>0</v>
      </c>
      <c r="U28" s="27">
        <f>Y24</f>
        <v>0</v>
      </c>
      <c r="V28" s="27">
        <f>Y25</f>
        <v>0</v>
      </c>
      <c r="W28" s="27">
        <f>Y26</f>
        <v>0</v>
      </c>
      <c r="X28" s="27">
        <f>Y27</f>
        <v>0</v>
      </c>
      <c r="Y28" s="24">
        <v>0</v>
      </c>
      <c r="Z28" s="25">
        <v>0</v>
      </c>
      <c r="AA28" s="25">
        <v>0</v>
      </c>
      <c r="AB28" s="25">
        <v>0</v>
      </c>
      <c r="AC28" s="25">
        <v>0</v>
      </c>
      <c r="AD28" s="26">
        <v>0</v>
      </c>
    </row>
    <row r="29" spans="1:30" ht="15.75" customHeight="1">
      <c r="A29" s="22" t="s">
        <v>122</v>
      </c>
      <c r="B29" s="27">
        <f>Z5</f>
        <v>0</v>
      </c>
      <c r="C29" s="27">
        <f>Z6</f>
        <v>0</v>
      </c>
      <c r="D29" s="27">
        <f>Z7</f>
        <v>0.18365472910927455</v>
      </c>
      <c r="E29" s="27">
        <f>Z8</f>
        <v>0</v>
      </c>
      <c r="F29" s="27">
        <f>Z9</f>
        <v>0</v>
      </c>
      <c r="G29" s="27">
        <f>Z10</f>
        <v>0.18365472910927455</v>
      </c>
      <c r="H29" s="27">
        <f>Z11</f>
        <v>0</v>
      </c>
      <c r="I29" s="27">
        <f>Z12</f>
        <v>0</v>
      </c>
      <c r="J29" s="27">
        <f>Z13</f>
        <v>0</v>
      </c>
      <c r="K29" s="27">
        <f>Z14</f>
        <v>0</v>
      </c>
      <c r="L29" s="27">
        <f>Z15</f>
        <v>0</v>
      </c>
      <c r="M29" s="27">
        <f>Z16</f>
        <v>0</v>
      </c>
      <c r="N29" s="27">
        <f>Z17</f>
        <v>0</v>
      </c>
      <c r="O29" s="27">
        <f>Z18</f>
        <v>0</v>
      </c>
      <c r="P29" s="27">
        <f>Z19</f>
        <v>0</v>
      </c>
      <c r="Q29" s="27">
        <f>Z20</f>
        <v>0</v>
      </c>
      <c r="R29" s="27">
        <f>Z21</f>
        <v>0</v>
      </c>
      <c r="S29" s="27">
        <f>Z22</f>
        <v>0</v>
      </c>
      <c r="T29" s="27">
        <f>Z23</f>
        <v>0</v>
      </c>
      <c r="U29" s="27">
        <f>Z24</f>
        <v>0</v>
      </c>
      <c r="V29" s="27">
        <f>Z25</f>
        <v>0</v>
      </c>
      <c r="W29" s="27">
        <f>Z26</f>
        <v>0</v>
      </c>
      <c r="X29" s="27">
        <f>Z27</f>
        <v>0</v>
      </c>
      <c r="Y29" s="27">
        <f>Z28</f>
        <v>0</v>
      </c>
      <c r="Z29" s="24">
        <v>0</v>
      </c>
      <c r="AA29" s="25">
        <v>0</v>
      </c>
      <c r="AB29" s="25">
        <v>0</v>
      </c>
      <c r="AC29" s="25">
        <v>0</v>
      </c>
      <c r="AD29" s="26">
        <v>0</v>
      </c>
    </row>
    <row r="30" spans="1:30" ht="15.75" customHeight="1">
      <c r="A30" s="22" t="s">
        <v>127</v>
      </c>
      <c r="B30" s="27">
        <f>AA5</f>
        <v>0.3673094582185491</v>
      </c>
      <c r="C30" s="27">
        <f>AA6</f>
        <v>0</v>
      </c>
      <c r="D30" s="27">
        <f>AA7</f>
        <v>0</v>
      </c>
      <c r="E30" s="27">
        <f>AA8</f>
        <v>0</v>
      </c>
      <c r="F30" s="27">
        <f>AA9</f>
        <v>0</v>
      </c>
      <c r="G30" s="27">
        <f>AA10</f>
        <v>0</v>
      </c>
      <c r="H30" s="27">
        <f>AA11</f>
        <v>0</v>
      </c>
      <c r="I30" s="27">
        <f>AA12</f>
        <v>0</v>
      </c>
      <c r="J30" s="27">
        <f>AA13</f>
        <v>0</v>
      </c>
      <c r="K30" s="27">
        <f>AA14</f>
        <v>0</v>
      </c>
      <c r="L30" s="27">
        <f>AA15</f>
        <v>0</v>
      </c>
      <c r="M30" s="27">
        <f>AA16</f>
        <v>0</v>
      </c>
      <c r="N30" s="27">
        <f>AA17</f>
        <v>0</v>
      </c>
      <c r="O30" s="27">
        <f>AA18</f>
        <v>0</v>
      </c>
      <c r="P30" s="27">
        <f>AA19</f>
        <v>0</v>
      </c>
      <c r="Q30" s="27">
        <f>AA20</f>
        <v>0</v>
      </c>
      <c r="R30" s="27">
        <f>AA21</f>
        <v>0</v>
      </c>
      <c r="S30" s="27">
        <f>AA22</f>
        <v>0</v>
      </c>
      <c r="T30" s="27">
        <f>AA23</f>
        <v>0</v>
      </c>
      <c r="U30" s="27">
        <f>AA24</f>
        <v>0</v>
      </c>
      <c r="V30" s="27">
        <f>AA25</f>
        <v>0</v>
      </c>
      <c r="W30" s="27">
        <f>AA26</f>
        <v>0</v>
      </c>
      <c r="X30" s="27">
        <f>AA27</f>
        <v>0</v>
      </c>
      <c r="Y30" s="27">
        <f>AA28</f>
        <v>0</v>
      </c>
      <c r="Z30" s="27">
        <f>AA29</f>
        <v>0</v>
      </c>
      <c r="AA30" s="24">
        <v>0</v>
      </c>
      <c r="AB30" s="25">
        <v>0</v>
      </c>
      <c r="AC30" s="25">
        <v>0</v>
      </c>
      <c r="AD30" s="26">
        <v>0</v>
      </c>
    </row>
    <row r="31" spans="1:30" ht="15.75" customHeight="1">
      <c r="A31" s="22" t="s">
        <v>131</v>
      </c>
      <c r="B31" s="27">
        <f>AB5</f>
        <v>0</v>
      </c>
      <c r="C31" s="27">
        <f>AB6</f>
        <v>0.3673094582185491</v>
      </c>
      <c r="D31" s="27">
        <f>AB7</f>
        <v>0</v>
      </c>
      <c r="E31" s="27">
        <f>AB8</f>
        <v>0</v>
      </c>
      <c r="F31" s="27">
        <f>AB9</f>
        <v>0</v>
      </c>
      <c r="G31" s="27">
        <f>AB10</f>
        <v>0</v>
      </c>
      <c r="H31" s="27">
        <f>AB11</f>
        <v>0</v>
      </c>
      <c r="I31" s="27">
        <f>AB12</f>
        <v>0</v>
      </c>
      <c r="J31" s="27">
        <f>AB13</f>
        <v>0</v>
      </c>
      <c r="K31" s="27">
        <f>AB14</f>
        <v>0</v>
      </c>
      <c r="L31" s="27">
        <f>AB15</f>
        <v>0</v>
      </c>
      <c r="M31" s="27">
        <f>AB16</f>
        <v>0</v>
      </c>
      <c r="N31" s="27">
        <f>AB17</f>
        <v>0</v>
      </c>
      <c r="O31" s="27">
        <f>AB18</f>
        <v>0</v>
      </c>
      <c r="P31" s="27">
        <f>AB19</f>
        <v>0</v>
      </c>
      <c r="Q31" s="27">
        <f>AB20</f>
        <v>0</v>
      </c>
      <c r="R31" s="27">
        <f>AB21</f>
        <v>0</v>
      </c>
      <c r="S31" s="27">
        <f>AB22</f>
        <v>0</v>
      </c>
      <c r="T31" s="27">
        <f>AB23</f>
        <v>0</v>
      </c>
      <c r="U31" s="27">
        <f>AB24</f>
        <v>0</v>
      </c>
      <c r="V31" s="27">
        <f>AB25</f>
        <v>0</v>
      </c>
      <c r="W31" s="27">
        <f>AB26</f>
        <v>0</v>
      </c>
      <c r="X31" s="27">
        <f>AB27</f>
        <v>0</v>
      </c>
      <c r="Y31" s="27">
        <f>AB28</f>
        <v>0</v>
      </c>
      <c r="Z31" s="27">
        <f>AB29</f>
        <v>0</v>
      </c>
      <c r="AA31" s="27">
        <f>AB30</f>
        <v>0</v>
      </c>
      <c r="AB31" s="24">
        <v>0</v>
      </c>
      <c r="AC31" s="25">
        <v>0</v>
      </c>
      <c r="AD31" s="26">
        <v>0</v>
      </c>
    </row>
    <row r="32" spans="1:30" ht="15.75" customHeight="1">
      <c r="A32" s="22" t="s">
        <v>134</v>
      </c>
      <c r="B32" s="27">
        <f>AC5</f>
        <v>0</v>
      </c>
      <c r="C32" s="27">
        <f>AC6</f>
        <v>0</v>
      </c>
      <c r="D32" s="27">
        <f>AC7</f>
        <v>0</v>
      </c>
      <c r="E32" s="27">
        <f>AC8</f>
        <v>0</v>
      </c>
      <c r="F32" s="27">
        <f>AC9</f>
        <v>0</v>
      </c>
      <c r="G32" s="27">
        <f>AC10</f>
        <v>0</v>
      </c>
      <c r="H32" s="27">
        <f>AC11</f>
        <v>0</v>
      </c>
      <c r="I32" s="27">
        <f>AC12</f>
        <v>0</v>
      </c>
      <c r="J32" s="27">
        <f>AC13</f>
        <v>0</v>
      </c>
      <c r="K32" s="27">
        <f>AC14</f>
        <v>0</v>
      </c>
      <c r="L32" s="27">
        <f>AC15</f>
        <v>0</v>
      </c>
      <c r="M32" s="27">
        <f>AC16</f>
        <v>0</v>
      </c>
      <c r="N32" s="27">
        <f>AC17</f>
        <v>0</v>
      </c>
      <c r="O32" s="27">
        <f>AC18</f>
        <v>0</v>
      </c>
      <c r="P32" s="27">
        <f>AC19</f>
        <v>0</v>
      </c>
      <c r="Q32" s="27">
        <f>AC20</f>
        <v>0</v>
      </c>
      <c r="R32" s="27">
        <f>AC21</f>
        <v>0</v>
      </c>
      <c r="S32" s="27">
        <f>AC22</f>
        <v>0</v>
      </c>
      <c r="T32" s="27">
        <f>AC23</f>
        <v>0</v>
      </c>
      <c r="U32" s="27">
        <f>AC24</f>
        <v>0</v>
      </c>
      <c r="V32" s="27">
        <f>AC25</f>
        <v>0</v>
      </c>
      <c r="W32" s="27">
        <f>AC26</f>
        <v>0.3673094582185491</v>
      </c>
      <c r="X32" s="27">
        <f>AC27</f>
        <v>0</v>
      </c>
      <c r="Y32" s="27">
        <f>AC28</f>
        <v>0</v>
      </c>
      <c r="Z32" s="27">
        <f>AC29</f>
        <v>0</v>
      </c>
      <c r="AA32" s="27">
        <f>AC30</f>
        <v>0</v>
      </c>
      <c r="AB32" s="27">
        <f>AC31</f>
        <v>0</v>
      </c>
      <c r="AC32" s="24">
        <v>0</v>
      </c>
      <c r="AD32" s="26">
        <v>0</v>
      </c>
    </row>
    <row r="33" spans="1:30" ht="15.75" customHeight="1">
      <c r="A33" s="22" t="s">
        <v>139</v>
      </c>
      <c r="B33" s="27">
        <f>AD5</f>
        <v>0</v>
      </c>
      <c r="C33" s="27">
        <f>AD6</f>
        <v>0</v>
      </c>
      <c r="D33" s="27">
        <f>AD7</f>
        <v>0</v>
      </c>
      <c r="E33" s="27">
        <f>AD8</f>
        <v>0</v>
      </c>
      <c r="F33" s="27">
        <f>AD9</f>
        <v>0</v>
      </c>
      <c r="G33" s="27">
        <f>AD10</f>
        <v>0</v>
      </c>
      <c r="H33" s="27">
        <f>AD11</f>
        <v>0.26367831245880025</v>
      </c>
      <c r="I33" s="27">
        <f>AD12</f>
        <v>0</v>
      </c>
      <c r="J33" s="27">
        <f>AD13</f>
        <v>0</v>
      </c>
      <c r="K33" s="27">
        <f>AD14</f>
        <v>0</v>
      </c>
      <c r="L33" s="27">
        <f>AD15</f>
        <v>0</v>
      </c>
      <c r="M33" s="27">
        <f>AD16</f>
        <v>0</v>
      </c>
      <c r="N33" s="27">
        <f>AD17</f>
        <v>0</v>
      </c>
      <c r="O33" s="27">
        <f>AD18</f>
        <v>0</v>
      </c>
      <c r="P33" s="27">
        <f>AD19</f>
        <v>0</v>
      </c>
      <c r="Q33" s="27">
        <f>AD20</f>
        <v>0</v>
      </c>
      <c r="R33" s="27">
        <f>AD21</f>
        <v>0</v>
      </c>
      <c r="S33" s="27">
        <f>AD22</f>
        <v>0</v>
      </c>
      <c r="T33" s="27">
        <f>AD23</f>
        <v>0</v>
      </c>
      <c r="U33" s="27">
        <f>AD24</f>
        <v>0</v>
      </c>
      <c r="V33" s="27">
        <f>AD25</f>
        <v>0</v>
      </c>
      <c r="W33" s="27">
        <f>AD26</f>
        <v>0</v>
      </c>
      <c r="X33" s="27">
        <f>AD27</f>
        <v>0</v>
      </c>
      <c r="Y33" s="27">
        <f>AD28</f>
        <v>0</v>
      </c>
      <c r="Z33" s="27">
        <f>AD29</f>
        <v>0</v>
      </c>
      <c r="AA33" s="27">
        <f>AD30</f>
        <v>0</v>
      </c>
      <c r="AB33" s="27">
        <f>AD31</f>
        <v>0</v>
      </c>
      <c r="AC33" s="27">
        <v>0</v>
      </c>
      <c r="AD33" s="24">
        <v>0</v>
      </c>
    </row>
    <row r="34" spans="1:30" ht="15.75" customHeight="1">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row>
    <row r="35" spans="1:30" ht="15.75" customHeight="1">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c r="AA35" s="21"/>
      <c r="AB35" s="21"/>
      <c r="AC35" s="21"/>
      <c r="AD35" s="21"/>
    </row>
    <row r="36" spans="1:30" ht="15.75" customHeight="1">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row>
    <row r="37" spans="1:30" ht="15.75" customHeight="1">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row>
    <row r="38" spans="1:30" ht="15.75" customHeight="1">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row>
    <row r="39" spans="1:30" ht="15.75" customHeight="1">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row>
    <row r="40" spans="1:30" ht="15.75" customHeight="1">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row>
    <row r="41" spans="1:30" ht="15.75" customHeight="1">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row>
    <row r="42" spans="1:30" ht="15.75" customHeight="1">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row>
    <row r="43" spans="1:30" ht="15.75" customHeight="1">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row>
    <row r="44" spans="1:30" ht="15.75" customHeight="1">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row>
    <row r="45" spans="1:30" ht="15.75" customHeight="1">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row>
    <row r="46" spans="1:30" ht="15.75" customHeight="1">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row>
    <row r="47" spans="1:30" ht="15.75" customHeight="1">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row>
    <row r="48" spans="1:30" ht="15.75" customHeight="1">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row>
    <row r="49" spans="1:30" ht="15.75" customHeight="1">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row>
    <row r="50" spans="1:30" ht="15.75" customHeight="1">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row>
    <row r="51" spans="1:30" ht="15.75" customHeight="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row>
    <row r="52" spans="1:30" ht="15.75" customHeight="1">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row>
    <row r="53" spans="1:30" ht="15.75" customHeight="1">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row>
    <row r="54" spans="1:30" ht="15.75" customHeight="1">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row>
    <row r="55" spans="1:30" ht="15.75" customHeight="1">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row>
    <row r="56" spans="1:30" ht="15.75" customHeight="1">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row>
    <row r="57" spans="1:30" ht="15.75" customHeight="1">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row>
    <row r="58" spans="1:30" ht="15.75" customHeight="1">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row>
    <row r="59" spans="1:30" ht="15.75" customHeight="1">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row>
    <row r="60" spans="1:30" ht="15.75" customHeight="1">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row>
    <row r="61" spans="1:30" ht="15.75" customHeight="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row>
    <row r="62" spans="1:30" ht="15.75" customHeight="1">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row>
    <row r="63" spans="1:30" ht="15.75" customHeight="1">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row>
    <row r="64" spans="1:30" ht="15.75" customHeight="1">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row>
    <row r="65" spans="1:30" ht="15.75" customHeight="1">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row>
    <row r="66" spans="1:30" ht="15.75" customHeight="1">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row>
    <row r="67" spans="1:30" ht="15.75" customHeight="1">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row>
    <row r="68" spans="1:30" ht="15.75" customHeight="1">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row>
    <row r="69" spans="1:30" ht="15.75" customHeight="1">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row>
    <row r="70" spans="1:30" ht="15.75" customHeight="1">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row>
    <row r="71" spans="1:30" ht="15.75" customHeight="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row>
    <row r="72" spans="1:30" ht="15.75" customHeight="1">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row>
    <row r="73" spans="1:30" ht="15.75" customHeight="1">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row>
    <row r="74" spans="1:30" ht="15.75" customHeight="1">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row>
    <row r="75" spans="1:30" ht="15.75" customHeight="1">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row>
    <row r="76" spans="1:30" ht="15.75" customHeight="1">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row>
    <row r="77" spans="1:30" ht="15.75" customHeight="1">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row>
    <row r="78" spans="1:30" ht="15.75" customHeight="1">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row>
    <row r="79" spans="1:30" ht="15.75" customHeight="1">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row>
    <row r="80" spans="1:30" ht="15.75" customHeight="1">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row>
    <row r="81" spans="1:30" ht="15.75" customHeight="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row>
    <row r="82" spans="1:30" ht="15.75" customHeight="1">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row>
    <row r="83" spans="1:30" ht="15.75" customHeight="1">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row>
    <row r="84" spans="1:30" ht="15.75" customHeight="1">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row>
    <row r="85" spans="1:30" ht="15.75" customHeight="1">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row>
    <row r="86" spans="1:30" ht="15.75" customHeight="1">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row>
    <row r="87" spans="1:30" ht="15.75" customHeight="1">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row>
    <row r="88" spans="1:30" ht="15.75" customHeight="1">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row>
    <row r="89" spans="1:30" ht="15.75" customHeight="1">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row>
    <row r="90" spans="1:30" ht="15.75" customHeight="1">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row>
    <row r="91" spans="1:30" ht="15.75" customHeight="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row>
    <row r="92" spans="1:30" ht="15.75" customHeight="1">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row>
    <row r="93" spans="1:30" ht="15.75" customHeight="1">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row>
    <row r="94" spans="1:30" ht="15.75" customHeight="1">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row>
    <row r="95" spans="1:30" ht="15.75" customHeight="1">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row>
    <row r="96" spans="1:30" ht="15.75" customHeight="1">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row>
    <row r="97" spans="1:30" ht="15.75" customHeight="1">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row>
    <row r="98" spans="1:30" ht="15.75" customHeight="1">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c r="AA98" s="21"/>
      <c r="AB98" s="21"/>
      <c r="AC98" s="21"/>
      <c r="AD98" s="21"/>
    </row>
    <row r="99" spans="1:30" ht="15.75" customHeight="1">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c r="AA99" s="21"/>
      <c r="AB99" s="21"/>
      <c r="AC99" s="21"/>
      <c r="AD99" s="21"/>
    </row>
    <row r="100" spans="1:30" ht="15.75" customHeight="1">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c r="AC100" s="21"/>
      <c r="AD100" s="21"/>
    </row>
    <row r="101" spans="1:30" ht="15.75" customHeight="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c r="AC101" s="21"/>
      <c r="AD101" s="21"/>
    </row>
    <row r="102" spans="1:30" ht="15.75" customHeight="1">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c r="AC102" s="21"/>
      <c r="AD102" s="21"/>
    </row>
    <row r="103" spans="1:30" ht="15.75" customHeight="1">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c r="AC103" s="21"/>
      <c r="AD103" s="21"/>
    </row>
    <row r="104" spans="1:30" ht="15.75" customHeight="1">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c r="AC104" s="21"/>
      <c r="AD104" s="21"/>
    </row>
    <row r="105" spans="1:30" ht="15.75" customHeight="1">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c r="AB105" s="21"/>
      <c r="AC105" s="21"/>
      <c r="AD105" s="21"/>
    </row>
    <row r="106" spans="1:30" ht="15.75" customHeight="1">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c r="AC106" s="21"/>
      <c r="AD106" s="21"/>
    </row>
    <row r="107" spans="1:30" ht="15.75" customHeight="1">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c r="AB107" s="21"/>
      <c r="AC107" s="21"/>
      <c r="AD107" s="21"/>
    </row>
    <row r="108" spans="1:30" ht="15.75" customHeight="1">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row>
    <row r="109" spans="1:30" ht="15.75" customHeight="1">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c r="AC109" s="21"/>
      <c r="AD109" s="21"/>
    </row>
    <row r="110" spans="1:30" ht="15.75" customHeight="1">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row>
    <row r="111" spans="1:30" ht="15.75" customHeight="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row>
    <row r="112" spans="1:30" ht="15.75" customHeight="1">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row>
    <row r="113" spans="1:30" ht="15.75" customHeight="1">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c r="AA113" s="21"/>
      <c r="AB113" s="21"/>
      <c r="AC113" s="21"/>
      <c r="AD113" s="21"/>
    </row>
    <row r="114" spans="1:30" ht="15.75" customHeight="1">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c r="AB114" s="21"/>
      <c r="AC114" s="21"/>
      <c r="AD114" s="21"/>
    </row>
    <row r="115" spans="1:30" ht="15.75" customHeight="1">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c r="AA115" s="21"/>
      <c r="AB115" s="21"/>
      <c r="AC115" s="21"/>
      <c r="AD115" s="21"/>
    </row>
    <row r="116" spans="1:30" ht="15.75" customHeight="1">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row>
    <row r="117" spans="1:30" ht="15.75" customHeight="1">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row>
    <row r="118" spans="1:30" ht="15.75" customHeight="1">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row>
    <row r="119" spans="1:30" ht="15.75" customHeight="1">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row>
    <row r="120" spans="1:30" ht="15.75" customHeight="1">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row>
    <row r="121" spans="1:30" ht="15.75" customHeight="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row>
    <row r="122" spans="1:30" ht="15.75" customHeight="1">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row>
    <row r="123" spans="1:30" ht="15.75" customHeight="1">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row>
    <row r="124" spans="1:30" ht="15.75" customHeight="1">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row>
    <row r="125" spans="1:30" ht="15.75" customHeight="1">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row>
    <row r="126" spans="1:30" ht="15.75" customHeight="1">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c r="AC126" s="21"/>
      <c r="AD126" s="21"/>
    </row>
    <row r="127" spans="1:30" ht="15.75" customHeight="1">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row>
    <row r="128" spans="1:30" ht="15.75" customHeight="1">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row>
    <row r="129" spans="1:30" ht="15.75" customHeight="1">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row>
    <row r="130" spans="1:30" ht="15.75" customHeight="1">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row>
    <row r="131" spans="1:30" ht="15.75" customHeight="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row>
    <row r="132" spans="1:30" ht="15.75" customHeight="1">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row>
    <row r="133" spans="1:30" ht="15.75" customHeight="1">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row>
    <row r="134" spans="1:30" ht="15.75" customHeight="1">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row>
    <row r="135" spans="1:30" ht="15.75" customHeight="1">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row>
    <row r="136" spans="1:30" ht="15.75" customHeight="1">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row>
    <row r="137" spans="1:30" ht="15.75" customHeight="1">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row>
    <row r="138" spans="1:30" ht="15.75" customHeight="1">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row>
    <row r="139" spans="1:30" ht="15.75" customHeight="1">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row>
    <row r="140" spans="1:30" ht="15.75" customHeight="1">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row>
    <row r="141" spans="1:30" ht="15.75" customHeight="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row>
    <row r="142" spans="1:30" ht="15.75" customHeight="1">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row>
    <row r="143" spans="1:30" ht="15.75" customHeight="1">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row>
    <row r="144" spans="1:30" ht="15.75" customHeight="1">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row>
    <row r="145" spans="1:30" ht="15.75" customHeight="1">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row>
    <row r="146" spans="1:30" ht="15.75" customHeight="1">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row>
    <row r="147" spans="1:30" ht="15.75" customHeight="1">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row>
    <row r="148" spans="1:30" ht="15.75" customHeight="1">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row>
    <row r="149" spans="1:30" ht="15.75" customHeight="1">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row>
    <row r="150" spans="1:30" ht="15.75" customHeight="1">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row>
    <row r="151" spans="1:30" ht="15.75" customHeight="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c r="AC151" s="21"/>
      <c r="AD151" s="21"/>
    </row>
    <row r="152" spans="1:30" ht="15.75" customHeight="1">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c r="AB152" s="21"/>
      <c r="AC152" s="21"/>
      <c r="AD152" s="21"/>
    </row>
    <row r="153" spans="1:30" ht="15.75" customHeight="1">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row>
    <row r="154" spans="1:30" ht="15.75" customHeight="1">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row>
    <row r="155" spans="1:30" ht="15.75" customHeight="1">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row>
    <row r="156" spans="1:30" ht="15.75" customHeight="1">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c r="AB156" s="21"/>
      <c r="AC156" s="21"/>
      <c r="AD156" s="21"/>
    </row>
    <row r="157" spans="1:30" ht="15.75" customHeight="1">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c r="AA157" s="21"/>
      <c r="AB157" s="21"/>
      <c r="AC157" s="21"/>
      <c r="AD157" s="21"/>
    </row>
    <row r="158" spans="1:30" ht="15.75" customHeight="1">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c r="AA158" s="21"/>
      <c r="AB158" s="21"/>
      <c r="AC158" s="21"/>
      <c r="AD158" s="21"/>
    </row>
    <row r="159" spans="1:30" ht="15.75" customHeight="1">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c r="AA159" s="21"/>
      <c r="AB159" s="21"/>
      <c r="AC159" s="21"/>
      <c r="AD159" s="21"/>
    </row>
    <row r="160" spans="1:30" ht="15.75" customHeight="1">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c r="AA160" s="21"/>
      <c r="AB160" s="21"/>
      <c r="AC160" s="21"/>
      <c r="AD160" s="21"/>
    </row>
    <row r="161" spans="1:30" ht="15.75" customHeight="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c r="AA161" s="21"/>
      <c r="AB161" s="21"/>
      <c r="AC161" s="21"/>
      <c r="AD161" s="21"/>
    </row>
    <row r="162" spans="1:30" ht="15.75" customHeight="1">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c r="AA162" s="21"/>
      <c r="AB162" s="21"/>
      <c r="AC162" s="21"/>
      <c r="AD162" s="21"/>
    </row>
    <row r="163" spans="1:30" ht="15.75" customHeight="1">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c r="AA163" s="21"/>
      <c r="AB163" s="21"/>
      <c r="AC163" s="21"/>
      <c r="AD163" s="21"/>
    </row>
    <row r="164" spans="1:30" ht="15.75" customHeight="1">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c r="AA164" s="21"/>
      <c r="AB164" s="21"/>
      <c r="AC164" s="21"/>
      <c r="AD164" s="21"/>
    </row>
    <row r="165" spans="1:30" ht="15.75" customHeight="1">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c r="AA165" s="21"/>
      <c r="AB165" s="21"/>
      <c r="AC165" s="21"/>
      <c r="AD165" s="21"/>
    </row>
    <row r="166" spans="1:30" ht="15.75" customHeight="1">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c r="AA166" s="21"/>
      <c r="AB166" s="21"/>
      <c r="AC166" s="21"/>
      <c r="AD166" s="21"/>
    </row>
    <row r="167" spans="1:30" ht="15.75" customHeight="1">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c r="AA167" s="21"/>
      <c r="AB167" s="21"/>
      <c r="AC167" s="21"/>
      <c r="AD167" s="21"/>
    </row>
    <row r="168" spans="1:30" ht="15.75" customHeight="1">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c r="AA168" s="21"/>
      <c r="AB168" s="21"/>
      <c r="AC168" s="21"/>
      <c r="AD168" s="21"/>
    </row>
    <row r="169" spans="1:30" ht="15.75" customHeight="1">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c r="AA169" s="21"/>
      <c r="AB169" s="21"/>
      <c r="AC169" s="21"/>
      <c r="AD169" s="21"/>
    </row>
    <row r="170" spans="1:30" ht="15.75" customHeight="1">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c r="AA170" s="21"/>
      <c r="AB170" s="21"/>
      <c r="AC170" s="21"/>
      <c r="AD170" s="21"/>
    </row>
    <row r="171" spans="1:30" ht="15.75" customHeight="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c r="AA171" s="21"/>
      <c r="AB171" s="21"/>
      <c r="AC171" s="21"/>
      <c r="AD171" s="21"/>
    </row>
    <row r="172" spans="1:30" ht="15.75" customHeight="1">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c r="AA172" s="21"/>
      <c r="AB172" s="21"/>
      <c r="AC172" s="21"/>
      <c r="AD172" s="21"/>
    </row>
    <row r="173" spans="1:30" ht="15.75" customHeight="1">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c r="AA173" s="21"/>
      <c r="AB173" s="21"/>
      <c r="AC173" s="21"/>
      <c r="AD173" s="21"/>
    </row>
    <row r="174" spans="1:30" ht="15.75" customHeight="1">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c r="AA174" s="21"/>
      <c r="AB174" s="21"/>
      <c r="AC174" s="21"/>
      <c r="AD174" s="21"/>
    </row>
    <row r="175" spans="1:30" ht="15.75" customHeight="1">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c r="AA175" s="21"/>
      <c r="AB175" s="21"/>
      <c r="AC175" s="21"/>
      <c r="AD175" s="21"/>
    </row>
    <row r="176" spans="1:30" ht="15.75" customHeight="1">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c r="AA176" s="21"/>
      <c r="AB176" s="21"/>
      <c r="AC176" s="21"/>
      <c r="AD176" s="21"/>
    </row>
    <row r="177" spans="1:30" ht="15.75" customHeight="1">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c r="AA177" s="21"/>
      <c r="AB177" s="21"/>
      <c r="AC177" s="21"/>
      <c r="AD177" s="21"/>
    </row>
    <row r="178" spans="1:30" ht="15.75" customHeight="1">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c r="AA178" s="21"/>
      <c r="AB178" s="21"/>
      <c r="AC178" s="21"/>
      <c r="AD178" s="21"/>
    </row>
    <row r="179" spans="1:30" ht="15.75" customHeight="1">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c r="AA179" s="21"/>
      <c r="AB179" s="21"/>
      <c r="AC179" s="21"/>
      <c r="AD179" s="21"/>
    </row>
    <row r="180" spans="1:30" ht="15.75" customHeight="1">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c r="AA180" s="21"/>
      <c r="AB180" s="21"/>
      <c r="AC180" s="21"/>
      <c r="AD180" s="21"/>
    </row>
    <row r="181" spans="1:30" ht="15.75" customHeight="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c r="AA181" s="21"/>
      <c r="AB181" s="21"/>
      <c r="AC181" s="21"/>
      <c r="AD181" s="21"/>
    </row>
    <row r="182" spans="1:30" ht="15.75" customHeight="1">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c r="AA182" s="21"/>
      <c r="AB182" s="21"/>
      <c r="AC182" s="21"/>
      <c r="AD182" s="21"/>
    </row>
    <row r="183" spans="1:30" ht="15.75" customHeight="1">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c r="AA183" s="21"/>
      <c r="AB183" s="21"/>
      <c r="AC183" s="21"/>
      <c r="AD183" s="21"/>
    </row>
    <row r="184" spans="1:30" ht="15.75" customHeight="1">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c r="AA184" s="21"/>
      <c r="AB184" s="21"/>
      <c r="AC184" s="21"/>
      <c r="AD184" s="21"/>
    </row>
    <row r="185" spans="1:30" ht="15.75" customHeight="1">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c r="AA185" s="21"/>
      <c r="AB185" s="21"/>
      <c r="AC185" s="21"/>
      <c r="AD185" s="21"/>
    </row>
    <row r="186" spans="1:30" ht="15.75" customHeight="1">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c r="AA186" s="21"/>
      <c r="AB186" s="21"/>
      <c r="AC186" s="21"/>
      <c r="AD186" s="21"/>
    </row>
    <row r="187" spans="1:30" ht="15.75" customHeight="1">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c r="AA187" s="21"/>
      <c r="AB187" s="21"/>
      <c r="AC187" s="21"/>
      <c r="AD187" s="21"/>
    </row>
    <row r="188" spans="1:30" ht="15.75" customHeight="1">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c r="AA188" s="21"/>
      <c r="AB188" s="21"/>
      <c r="AC188" s="21"/>
      <c r="AD188" s="21"/>
    </row>
    <row r="189" spans="1:30" ht="15.75" customHeight="1">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c r="AA189" s="21"/>
      <c r="AB189" s="21"/>
      <c r="AC189" s="21"/>
      <c r="AD189" s="21"/>
    </row>
    <row r="190" spans="1:30" ht="15.75" customHeight="1">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c r="AA190" s="21"/>
      <c r="AB190" s="21"/>
      <c r="AC190" s="21"/>
      <c r="AD190" s="21"/>
    </row>
    <row r="191" spans="1:30" ht="15.75" customHeight="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c r="AA191" s="21"/>
      <c r="AB191" s="21"/>
      <c r="AC191" s="21"/>
      <c r="AD191" s="21"/>
    </row>
    <row r="192" spans="1:30" ht="15.75" customHeight="1">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c r="AA192" s="21"/>
      <c r="AB192" s="21"/>
      <c r="AC192" s="21"/>
      <c r="AD192" s="21"/>
    </row>
    <row r="193" spans="1:30" ht="15.75" customHeight="1">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c r="AA193" s="21"/>
      <c r="AB193" s="21"/>
      <c r="AC193" s="21"/>
      <c r="AD193" s="21"/>
    </row>
    <row r="194" spans="1:30" ht="15.75" customHeight="1">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c r="AA194" s="21"/>
      <c r="AB194" s="21"/>
      <c r="AC194" s="21"/>
      <c r="AD194" s="21"/>
    </row>
    <row r="195" spans="1:30" ht="15.75" customHeight="1">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c r="AA195" s="21"/>
      <c r="AB195" s="21"/>
      <c r="AC195" s="21"/>
      <c r="AD195" s="21"/>
    </row>
    <row r="196" spans="1:30" ht="15.75" customHeight="1">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c r="AA196" s="21"/>
      <c r="AB196" s="21"/>
      <c r="AC196" s="21"/>
      <c r="AD196" s="21"/>
    </row>
    <row r="197" spans="1:30" ht="15.75" customHeight="1">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c r="AA197" s="21"/>
      <c r="AB197" s="21"/>
      <c r="AC197" s="21"/>
      <c r="AD197" s="21"/>
    </row>
    <row r="198" spans="1:30" ht="15.75" customHeight="1">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c r="AA198" s="21"/>
      <c r="AB198" s="21"/>
      <c r="AC198" s="21"/>
      <c r="AD198" s="21"/>
    </row>
    <row r="199" spans="1:30" ht="15.75" customHeight="1">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c r="AA199" s="21"/>
      <c r="AB199" s="21"/>
      <c r="AC199" s="21"/>
      <c r="AD199" s="21"/>
    </row>
    <row r="200" spans="1:30" ht="15.75" customHeight="1">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c r="AA200" s="21"/>
      <c r="AB200" s="21"/>
      <c r="AC200" s="21"/>
      <c r="AD200" s="21"/>
    </row>
    <row r="201" spans="1:30" ht="15.75" customHeight="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c r="AA201" s="21"/>
      <c r="AB201" s="21"/>
      <c r="AC201" s="21"/>
      <c r="AD201" s="21"/>
    </row>
    <row r="202" spans="1:30" ht="15.75" customHeight="1">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c r="AA202" s="21"/>
      <c r="AB202" s="21"/>
      <c r="AC202" s="21"/>
      <c r="AD202" s="21"/>
    </row>
    <row r="203" spans="1:30" ht="15.75" customHeight="1">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c r="AA203" s="21"/>
      <c r="AB203" s="21"/>
      <c r="AC203" s="21"/>
      <c r="AD203" s="21"/>
    </row>
    <row r="204" spans="1:30" ht="15.75" customHeight="1">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c r="AA204" s="21"/>
      <c r="AB204" s="21"/>
      <c r="AC204" s="21"/>
      <c r="AD204" s="21"/>
    </row>
    <row r="205" spans="1:30" ht="15.75" customHeight="1">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c r="AA205" s="21"/>
      <c r="AB205" s="21"/>
      <c r="AC205" s="21"/>
      <c r="AD205" s="21"/>
    </row>
    <row r="206" spans="1:30" ht="15.75" customHeight="1">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c r="AA206" s="21"/>
      <c r="AB206" s="21"/>
      <c r="AC206" s="21"/>
      <c r="AD206" s="21"/>
    </row>
    <row r="207" spans="1:30" ht="15.75" customHeight="1">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c r="AA207" s="21"/>
      <c r="AB207" s="21"/>
      <c r="AC207" s="21"/>
      <c r="AD207" s="21"/>
    </row>
    <row r="208" spans="1:30" ht="15.75" customHeight="1">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c r="AA208" s="21"/>
      <c r="AB208" s="21"/>
      <c r="AC208" s="21"/>
      <c r="AD208" s="21"/>
    </row>
    <row r="209" spans="1:30" ht="15.75" customHeight="1">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c r="AA209" s="21"/>
      <c r="AB209" s="21"/>
      <c r="AC209" s="21"/>
      <c r="AD209" s="21"/>
    </row>
    <row r="210" spans="1:30" ht="15.75" customHeight="1">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c r="AA210" s="21"/>
      <c r="AB210" s="21"/>
      <c r="AC210" s="21"/>
      <c r="AD210" s="21"/>
    </row>
    <row r="211" spans="1:30" ht="15.75" customHeight="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c r="AA211" s="21"/>
      <c r="AB211" s="21"/>
      <c r="AC211" s="21"/>
      <c r="AD211" s="21"/>
    </row>
    <row r="212" spans="1:30" ht="15.75" customHeight="1">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c r="AA212" s="21"/>
      <c r="AB212" s="21"/>
      <c r="AC212" s="21"/>
      <c r="AD212" s="21"/>
    </row>
    <row r="213" spans="1:30" ht="15.75" customHeight="1">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row>
    <row r="214" spans="1:30" ht="15.75" customHeight="1">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row>
    <row r="215" spans="1:30" ht="15.75" customHeight="1">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c r="AA215" s="21"/>
      <c r="AB215" s="21"/>
      <c r="AC215" s="21"/>
      <c r="AD215" s="21"/>
    </row>
    <row r="216" spans="1:30" ht="15.75" customHeight="1">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row>
    <row r="217" spans="1:30" ht="15.75" customHeight="1">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row>
    <row r="218" spans="1:30" ht="15.75" customHeight="1">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c r="AA218" s="21"/>
      <c r="AB218" s="21"/>
      <c r="AC218" s="21"/>
      <c r="AD218" s="21"/>
    </row>
    <row r="219" spans="1:30" ht="15.75" customHeight="1">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c r="AA219" s="21"/>
      <c r="AB219" s="21"/>
      <c r="AC219" s="21"/>
      <c r="AD219" s="21"/>
    </row>
    <row r="220" spans="1:30" ht="15.75" customHeight="1">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c r="AA220" s="21"/>
      <c r="AB220" s="21"/>
      <c r="AC220" s="21"/>
      <c r="AD220" s="21"/>
    </row>
    <row r="221" spans="1:30" ht="15.75" customHeight="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row>
    <row r="222" spans="1:30" ht="15.75" customHeight="1">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row>
    <row r="223" spans="1:30" ht="15.75" customHeight="1">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row>
    <row r="224" spans="1:30" ht="15.75" customHeight="1">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row>
    <row r="225" spans="1:30" ht="15.75" customHeight="1">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row>
    <row r="226" spans="1:30" ht="15.75" customHeight="1">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c r="AA226" s="21"/>
      <c r="AB226" s="21"/>
      <c r="AC226" s="21"/>
      <c r="AD226" s="21"/>
    </row>
    <row r="227" spans="1:30" ht="15.75" customHeight="1">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c r="AA227" s="21"/>
      <c r="AB227" s="21"/>
      <c r="AC227" s="21"/>
      <c r="AD227" s="21"/>
    </row>
    <row r="228" spans="1:30" ht="15.75" customHeight="1">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c r="AA228" s="21"/>
      <c r="AB228" s="21"/>
      <c r="AC228" s="21"/>
      <c r="AD228" s="21"/>
    </row>
    <row r="229" spans="1:30" ht="15.75" customHeight="1">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c r="AA229" s="21"/>
      <c r="AB229" s="21"/>
      <c r="AC229" s="21"/>
      <c r="AD229" s="21"/>
    </row>
    <row r="230" spans="1:30" ht="15.75" customHeight="1">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c r="AA230" s="21"/>
      <c r="AB230" s="21"/>
      <c r="AC230" s="21"/>
      <c r="AD230" s="21"/>
    </row>
    <row r="231" spans="1:30" ht="15.75" customHeight="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c r="AA231" s="21"/>
      <c r="AB231" s="21"/>
      <c r="AC231" s="21"/>
      <c r="AD231" s="21"/>
    </row>
    <row r="232" spans="1:30" ht="15.75" customHeight="1">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c r="AA232" s="21"/>
      <c r="AB232" s="21"/>
      <c r="AC232" s="21"/>
      <c r="AD232" s="21"/>
    </row>
    <row r="233" spans="1:30" ht="15.75" customHeight="1">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c r="AA233" s="21"/>
      <c r="AB233" s="21"/>
      <c r="AC233" s="21"/>
      <c r="AD233" s="21"/>
    </row>
    <row r="234" spans="1:30" ht="15.75" customHeight="1">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c r="AA234" s="21"/>
      <c r="AB234" s="21"/>
      <c r="AC234" s="21"/>
      <c r="AD234" s="21"/>
    </row>
    <row r="235" spans="1:30" ht="15.75" customHeight="1">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c r="AA235" s="21"/>
      <c r="AB235" s="21"/>
      <c r="AC235" s="21"/>
      <c r="AD235" s="21"/>
    </row>
    <row r="236" spans="1:30" ht="15.75" customHeight="1">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c r="AA236" s="21"/>
      <c r="AB236" s="21"/>
      <c r="AC236" s="21"/>
      <c r="AD236" s="21"/>
    </row>
    <row r="237" spans="1:30" ht="15.75" customHeight="1">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c r="AA237" s="21"/>
      <c r="AB237" s="21"/>
      <c r="AC237" s="21"/>
      <c r="AD237" s="21"/>
    </row>
    <row r="238" spans="1:30" ht="15.75" customHeight="1">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c r="AA238" s="21"/>
      <c r="AB238" s="21"/>
      <c r="AC238" s="21"/>
      <c r="AD238" s="21"/>
    </row>
    <row r="239" spans="1:30" ht="15.75" customHeight="1">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c r="AA239" s="21"/>
      <c r="AB239" s="21"/>
      <c r="AC239" s="21"/>
      <c r="AD239" s="21"/>
    </row>
    <row r="240" spans="1:30" ht="15.75" customHeight="1">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c r="AA240" s="21"/>
      <c r="AB240" s="21"/>
      <c r="AC240" s="21"/>
      <c r="AD240" s="21"/>
    </row>
    <row r="241" spans="1:30" ht="15.75" customHeight="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c r="AA241" s="21"/>
      <c r="AB241" s="21"/>
      <c r="AC241" s="21"/>
      <c r="AD241" s="21"/>
    </row>
    <row r="242" spans="1:30" ht="15.75" customHeight="1">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c r="AA242" s="21"/>
      <c r="AB242" s="21"/>
      <c r="AC242" s="21"/>
      <c r="AD242" s="21"/>
    </row>
    <row r="243" spans="1:30" ht="15.75" customHeight="1">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c r="AA243" s="21"/>
      <c r="AB243" s="21"/>
      <c r="AC243" s="21"/>
      <c r="AD243" s="21"/>
    </row>
    <row r="244" spans="1:30" ht="15.75" customHeight="1">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c r="AA244" s="21"/>
      <c r="AB244" s="21"/>
      <c r="AC244" s="21"/>
      <c r="AD244" s="21"/>
    </row>
    <row r="245" spans="1:30" ht="15.75" customHeight="1">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c r="AA245" s="21"/>
      <c r="AB245" s="21"/>
      <c r="AC245" s="21"/>
      <c r="AD245" s="21"/>
    </row>
    <row r="246" spans="1:30" ht="15.75" customHeight="1">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c r="AA246" s="21"/>
      <c r="AB246" s="21"/>
      <c r="AC246" s="21"/>
      <c r="AD246" s="21"/>
    </row>
    <row r="247" spans="1:30" ht="15.75" customHeight="1">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c r="AA247" s="21"/>
      <c r="AB247" s="21"/>
      <c r="AC247" s="21"/>
      <c r="AD247" s="21"/>
    </row>
    <row r="248" spans="1:30" ht="15.75" customHeight="1">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row>
    <row r="249" spans="1:30" ht="15.75" customHeight="1">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row>
    <row r="250" spans="1:30" ht="15.75" customHeight="1">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row>
    <row r="251" spans="1:30" ht="15.75" customHeight="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row>
    <row r="252" spans="1:30" ht="15.75" customHeight="1">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row>
    <row r="253" spans="1:30" ht="15.75" customHeight="1">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row>
    <row r="254" spans="1:30" ht="15.75" customHeight="1">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row>
    <row r="255" spans="1:30" ht="15.75" customHeight="1">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row>
    <row r="256" spans="1:30" ht="15.75" customHeight="1">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c r="AA256" s="21"/>
      <c r="AB256" s="21"/>
      <c r="AC256" s="21"/>
      <c r="AD256" s="21"/>
    </row>
    <row r="257" spans="1:30" ht="15.75" customHeight="1">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c r="AA257" s="21"/>
      <c r="AB257" s="21"/>
      <c r="AC257" s="21"/>
      <c r="AD257" s="21"/>
    </row>
    <row r="258" spans="1:30" ht="15.75" customHeight="1">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c r="AA258" s="21"/>
      <c r="AB258" s="21"/>
      <c r="AC258" s="21"/>
      <c r="AD258" s="21"/>
    </row>
    <row r="259" spans="1:30" ht="15.75" customHeight="1">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c r="AA259" s="21"/>
      <c r="AB259" s="21"/>
      <c r="AC259" s="21"/>
      <c r="AD259" s="21"/>
    </row>
    <row r="260" spans="1:30" ht="15.75" customHeight="1">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c r="AA260" s="21"/>
      <c r="AB260" s="21"/>
      <c r="AC260" s="21"/>
      <c r="AD260" s="21"/>
    </row>
    <row r="261" spans="1:30" ht="15.75" customHeight="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c r="AA261" s="21"/>
      <c r="AB261" s="21"/>
      <c r="AC261" s="21"/>
      <c r="AD261" s="21"/>
    </row>
    <row r="262" spans="1:30" ht="15.75" customHeight="1">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c r="AA262" s="21"/>
      <c r="AB262" s="21"/>
      <c r="AC262" s="21"/>
      <c r="AD262" s="21"/>
    </row>
    <row r="263" spans="1:30" ht="15.75" customHeight="1">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c r="AA263" s="21"/>
      <c r="AB263" s="21"/>
      <c r="AC263" s="21"/>
      <c r="AD263" s="21"/>
    </row>
    <row r="264" spans="1:30" ht="15.75" customHeight="1">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c r="AA264" s="21"/>
      <c r="AB264" s="21"/>
      <c r="AC264" s="21"/>
      <c r="AD264" s="21"/>
    </row>
    <row r="265" spans="1:30" ht="15.75" customHeight="1">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c r="AA265" s="21"/>
      <c r="AB265" s="21"/>
      <c r="AC265" s="21"/>
      <c r="AD265" s="21"/>
    </row>
    <row r="266" spans="1:30" ht="15.75" customHeight="1">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c r="AA266" s="21"/>
      <c r="AB266" s="21"/>
      <c r="AC266" s="21"/>
      <c r="AD266" s="21"/>
    </row>
    <row r="267" spans="1:30" ht="15.75" customHeight="1">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c r="AA267" s="21"/>
      <c r="AB267" s="21"/>
      <c r="AC267" s="21"/>
      <c r="AD267" s="21"/>
    </row>
    <row r="268" spans="1:30" ht="15.75" customHeight="1">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c r="AA268" s="21"/>
      <c r="AB268" s="21"/>
      <c r="AC268" s="21"/>
      <c r="AD268" s="21"/>
    </row>
    <row r="269" spans="1:30" ht="15.75" customHeight="1">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c r="AA269" s="21"/>
      <c r="AB269" s="21"/>
      <c r="AC269" s="21"/>
      <c r="AD269" s="21"/>
    </row>
    <row r="270" spans="1:30" ht="15.75" customHeight="1">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c r="AA270" s="21"/>
      <c r="AB270" s="21"/>
      <c r="AC270" s="21"/>
      <c r="AD270" s="21"/>
    </row>
    <row r="271" spans="1:30" ht="15.75" customHeight="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c r="AA271" s="21"/>
      <c r="AB271" s="21"/>
      <c r="AC271" s="21"/>
      <c r="AD271" s="21"/>
    </row>
    <row r="272" spans="1:30" ht="15.75" customHeight="1">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c r="AA272" s="21"/>
      <c r="AB272" s="21"/>
      <c r="AC272" s="21"/>
      <c r="AD272" s="21"/>
    </row>
    <row r="273" spans="1:30" ht="15.75" customHeight="1">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c r="AA273" s="21"/>
      <c r="AB273" s="21"/>
      <c r="AC273" s="21"/>
      <c r="AD273" s="21"/>
    </row>
    <row r="274" spans="1:30" ht="15.75" customHeight="1">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c r="AA274" s="21"/>
      <c r="AB274" s="21"/>
      <c r="AC274" s="21"/>
      <c r="AD274" s="21"/>
    </row>
    <row r="275" spans="1:30" ht="15.75" customHeight="1">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c r="AA275" s="21"/>
      <c r="AB275" s="21"/>
      <c r="AC275" s="21"/>
      <c r="AD275" s="21"/>
    </row>
    <row r="276" spans="1:30" ht="15.75" customHeight="1">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c r="AA276" s="21"/>
      <c r="AB276" s="21"/>
      <c r="AC276" s="21"/>
      <c r="AD276" s="21"/>
    </row>
    <row r="277" spans="1:30" ht="15.75" customHeight="1">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c r="AA277" s="21"/>
      <c r="AB277" s="21"/>
      <c r="AC277" s="21"/>
      <c r="AD277" s="21"/>
    </row>
    <row r="278" spans="1:30" ht="15.75" customHeight="1">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c r="AA278" s="21"/>
      <c r="AB278" s="21"/>
      <c r="AC278" s="21"/>
      <c r="AD278" s="21"/>
    </row>
    <row r="279" spans="1:30" ht="15.75" customHeight="1">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c r="AA279" s="21"/>
      <c r="AB279" s="21"/>
      <c r="AC279" s="21"/>
      <c r="AD279" s="21"/>
    </row>
    <row r="280" spans="1:30" ht="15.75" customHeight="1">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c r="AA280" s="21"/>
      <c r="AB280" s="21"/>
      <c r="AC280" s="21"/>
      <c r="AD280" s="21"/>
    </row>
    <row r="281" spans="1:30" ht="15.75" customHeight="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c r="AA281" s="21"/>
      <c r="AB281" s="21"/>
      <c r="AC281" s="21"/>
      <c r="AD281" s="21"/>
    </row>
    <row r="282" spans="1:30" ht="15.75" customHeight="1">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c r="AA282" s="21"/>
      <c r="AB282" s="21"/>
      <c r="AC282" s="21"/>
      <c r="AD282" s="21"/>
    </row>
    <row r="283" spans="1:30" ht="15.75" customHeight="1">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c r="AA283" s="21"/>
      <c r="AB283" s="21"/>
      <c r="AC283" s="21"/>
      <c r="AD283" s="21"/>
    </row>
    <row r="284" spans="1:30" ht="15.75" customHeight="1">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c r="AA284" s="21"/>
      <c r="AB284" s="21"/>
      <c r="AC284" s="21"/>
      <c r="AD284" s="21"/>
    </row>
    <row r="285" spans="1:30" ht="15.75" customHeight="1">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c r="AA285" s="21"/>
      <c r="AB285" s="21"/>
      <c r="AC285" s="21"/>
      <c r="AD285" s="21"/>
    </row>
    <row r="286" spans="1:30" ht="15.75" customHeight="1">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c r="AA286" s="21"/>
      <c r="AB286" s="21"/>
      <c r="AC286" s="21"/>
      <c r="AD286" s="21"/>
    </row>
    <row r="287" spans="1:30" ht="15.75" customHeight="1">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c r="AA287" s="21"/>
      <c r="AB287" s="21"/>
      <c r="AC287" s="21"/>
      <c r="AD287" s="21"/>
    </row>
    <row r="288" spans="1:30" ht="15.75" customHeight="1">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c r="AA288" s="21"/>
      <c r="AB288" s="21"/>
      <c r="AC288" s="21"/>
      <c r="AD288" s="21"/>
    </row>
    <row r="289" spans="1:30" ht="15.75" customHeight="1">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c r="AA289" s="21"/>
      <c r="AB289" s="21"/>
      <c r="AC289" s="21"/>
      <c r="AD289" s="21"/>
    </row>
    <row r="290" spans="1:30" ht="15.75" customHeight="1">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c r="AA290" s="21"/>
      <c r="AB290" s="21"/>
      <c r="AC290" s="21"/>
      <c r="AD290" s="21"/>
    </row>
    <row r="291" spans="1:30" ht="15.75" customHeight="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c r="AA291" s="21"/>
      <c r="AB291" s="21"/>
      <c r="AC291" s="21"/>
      <c r="AD291" s="21"/>
    </row>
    <row r="292" spans="1:30" ht="15.75" customHeight="1">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c r="AA292" s="21"/>
      <c r="AB292" s="21"/>
      <c r="AC292" s="21"/>
      <c r="AD292" s="21"/>
    </row>
    <row r="293" spans="1:30" ht="15.75" customHeight="1">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c r="AA293" s="21"/>
      <c r="AB293" s="21"/>
      <c r="AC293" s="21"/>
      <c r="AD293" s="21"/>
    </row>
    <row r="294" spans="1:30" ht="15.75" customHeight="1">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c r="AA294" s="21"/>
      <c r="AB294" s="21"/>
      <c r="AC294" s="21"/>
      <c r="AD294" s="21"/>
    </row>
    <row r="295" spans="1:30" ht="15.75" customHeight="1">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c r="AA295" s="21"/>
      <c r="AB295" s="21"/>
      <c r="AC295" s="21"/>
      <c r="AD295" s="21"/>
    </row>
    <row r="296" spans="1:30" ht="15.75" customHeight="1">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c r="AA296" s="21"/>
      <c r="AB296" s="21"/>
      <c r="AC296" s="21"/>
      <c r="AD296" s="21"/>
    </row>
    <row r="297" spans="1:30" ht="15.75" customHeight="1">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c r="AA297" s="21"/>
      <c r="AB297" s="21"/>
      <c r="AC297" s="21"/>
      <c r="AD297" s="21"/>
    </row>
    <row r="298" spans="1:30" ht="15.75" customHeight="1">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c r="AA298" s="21"/>
      <c r="AB298" s="21"/>
      <c r="AC298" s="21"/>
      <c r="AD298" s="21"/>
    </row>
    <row r="299" spans="1:30" ht="15.75" customHeight="1">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c r="AA299" s="21"/>
      <c r="AB299" s="21"/>
      <c r="AC299" s="21"/>
      <c r="AD299" s="21"/>
    </row>
    <row r="300" spans="1:30" ht="15.75" customHeight="1">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c r="AA300" s="21"/>
      <c r="AB300" s="21"/>
      <c r="AC300" s="21"/>
      <c r="AD300" s="21"/>
    </row>
    <row r="301" spans="1:30" ht="15.75" customHeight="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c r="AA301" s="21"/>
      <c r="AB301" s="21"/>
      <c r="AC301" s="21"/>
      <c r="AD301" s="21"/>
    </row>
    <row r="302" spans="1:30" ht="15.75" customHeight="1">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c r="AA302" s="21"/>
      <c r="AB302" s="21"/>
      <c r="AC302" s="21"/>
      <c r="AD302" s="21"/>
    </row>
    <row r="303" spans="1:30" ht="15.75" customHeight="1">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c r="AA303" s="21"/>
      <c r="AB303" s="21"/>
      <c r="AC303" s="21"/>
      <c r="AD303" s="21"/>
    </row>
    <row r="304" spans="1:30" ht="15.75" customHeight="1">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c r="AA304" s="21"/>
      <c r="AB304" s="21"/>
      <c r="AC304" s="21"/>
      <c r="AD304" s="21"/>
    </row>
    <row r="305" spans="1:30" ht="15.75" customHeight="1">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c r="AA305" s="21"/>
      <c r="AB305" s="21"/>
      <c r="AC305" s="21"/>
      <c r="AD305" s="21"/>
    </row>
    <row r="306" spans="1:30" ht="15.75" customHeight="1">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c r="AA306" s="21"/>
      <c r="AB306" s="21"/>
      <c r="AC306" s="21"/>
      <c r="AD306" s="21"/>
    </row>
    <row r="307" spans="1:30" ht="15.75" customHeight="1">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c r="AA307" s="21"/>
      <c r="AB307" s="21"/>
      <c r="AC307" s="21"/>
      <c r="AD307" s="21"/>
    </row>
    <row r="308" spans="1:30" ht="15.75" customHeight="1">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c r="AA308" s="21"/>
      <c r="AB308" s="21"/>
      <c r="AC308" s="21"/>
      <c r="AD308" s="21"/>
    </row>
    <row r="309" spans="1:30" ht="15.75" customHeight="1">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c r="AA309" s="21"/>
      <c r="AB309" s="21"/>
      <c r="AC309" s="21"/>
      <c r="AD309" s="21"/>
    </row>
    <row r="310" spans="1:30" ht="15.75" customHeight="1">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c r="AA310" s="21"/>
      <c r="AB310" s="21"/>
      <c r="AC310" s="21"/>
      <c r="AD310" s="21"/>
    </row>
    <row r="311" spans="1:30" ht="15.75" customHeight="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c r="AA311" s="21"/>
      <c r="AB311" s="21"/>
      <c r="AC311" s="21"/>
      <c r="AD311" s="21"/>
    </row>
    <row r="312" spans="1:30" ht="15.75" customHeight="1">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c r="AA312" s="21"/>
      <c r="AB312" s="21"/>
      <c r="AC312" s="21"/>
      <c r="AD312" s="21"/>
    </row>
    <row r="313" spans="1:30" ht="15.75" customHeight="1">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c r="AA313" s="21"/>
      <c r="AB313" s="21"/>
      <c r="AC313" s="21"/>
      <c r="AD313" s="21"/>
    </row>
    <row r="314" spans="1:30" ht="15.75" customHeight="1">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c r="AA314" s="21"/>
      <c r="AB314" s="21"/>
      <c r="AC314" s="21"/>
      <c r="AD314" s="21"/>
    </row>
    <row r="315" spans="1:30" ht="15.75" customHeight="1">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c r="AA315" s="21"/>
      <c r="AB315" s="21"/>
      <c r="AC315" s="21"/>
      <c r="AD315" s="21"/>
    </row>
    <row r="316" spans="1:30" ht="15.75" customHeight="1">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c r="AA316" s="21"/>
      <c r="AB316" s="21"/>
      <c r="AC316" s="21"/>
      <c r="AD316" s="21"/>
    </row>
    <row r="317" spans="1:30" ht="15.75" customHeight="1">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c r="AA317" s="21"/>
      <c r="AB317" s="21"/>
      <c r="AC317" s="21"/>
      <c r="AD317" s="21"/>
    </row>
    <row r="318" spans="1:30" ht="15.75" customHeight="1">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row>
    <row r="319" spans="1:30" ht="15.75" customHeight="1">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c r="AA319" s="21"/>
      <c r="AB319" s="21"/>
      <c r="AC319" s="21"/>
      <c r="AD319" s="21"/>
    </row>
    <row r="320" spans="1:30" ht="15.75" customHeight="1">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c r="AA320" s="21"/>
      <c r="AB320" s="21"/>
      <c r="AC320" s="21"/>
      <c r="AD320" s="21"/>
    </row>
    <row r="321" spans="1:30" ht="15.75" customHeight="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c r="AA321" s="21"/>
      <c r="AB321" s="21"/>
      <c r="AC321" s="21"/>
      <c r="AD321" s="21"/>
    </row>
    <row r="322" spans="1:30" ht="15.75" customHeight="1">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c r="AA322" s="21"/>
      <c r="AB322" s="21"/>
      <c r="AC322" s="21"/>
      <c r="AD322" s="21"/>
    </row>
    <row r="323" spans="1:30" ht="15.75" customHeight="1">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c r="AA323" s="21"/>
      <c r="AB323" s="21"/>
      <c r="AC323" s="21"/>
      <c r="AD323" s="21"/>
    </row>
    <row r="324" spans="1:30" ht="15.75" customHeight="1">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c r="AA324" s="21"/>
      <c r="AB324" s="21"/>
      <c r="AC324" s="21"/>
      <c r="AD324" s="21"/>
    </row>
    <row r="325" spans="1:30" ht="15.75" customHeight="1">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c r="AA325" s="21"/>
      <c r="AB325" s="21"/>
      <c r="AC325" s="21"/>
      <c r="AD325" s="21"/>
    </row>
    <row r="326" spans="1:30" ht="15.75" customHeight="1">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c r="AA326" s="21"/>
      <c r="AB326" s="21"/>
      <c r="AC326" s="21"/>
      <c r="AD326" s="21"/>
    </row>
    <row r="327" spans="1:30" ht="15.75" customHeight="1">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c r="AA327" s="21"/>
      <c r="AB327" s="21"/>
      <c r="AC327" s="21"/>
      <c r="AD327" s="21"/>
    </row>
    <row r="328" spans="1:30" ht="15.75" customHeight="1">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c r="AA328" s="21"/>
      <c r="AB328" s="21"/>
      <c r="AC328" s="21"/>
      <c r="AD328" s="21"/>
    </row>
    <row r="329" spans="1:30" ht="15.75" customHeight="1">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c r="AA329" s="21"/>
      <c r="AB329" s="21"/>
      <c r="AC329" s="21"/>
      <c r="AD329" s="21"/>
    </row>
    <row r="330" spans="1:30" ht="15.75" customHeight="1">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c r="AA330" s="21"/>
      <c r="AB330" s="21"/>
      <c r="AC330" s="21"/>
      <c r="AD330" s="21"/>
    </row>
    <row r="331" spans="1:30" ht="15.75" customHeight="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c r="AA331" s="21"/>
      <c r="AB331" s="21"/>
      <c r="AC331" s="21"/>
      <c r="AD331" s="21"/>
    </row>
    <row r="332" spans="1:30" ht="15.75" customHeight="1">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c r="AA332" s="21"/>
      <c r="AB332" s="21"/>
      <c r="AC332" s="21"/>
      <c r="AD332" s="21"/>
    </row>
    <row r="333" spans="1:30" ht="15.75" customHeight="1">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c r="AA333" s="21"/>
      <c r="AB333" s="21"/>
      <c r="AC333" s="21"/>
      <c r="AD333" s="21"/>
    </row>
    <row r="334" spans="1:30" ht="15.75" customHeight="1">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c r="AA334" s="21"/>
      <c r="AB334" s="21"/>
      <c r="AC334" s="21"/>
      <c r="AD334" s="21"/>
    </row>
    <row r="335" spans="1:30" ht="15.75" customHeight="1">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c r="AA335" s="21"/>
      <c r="AB335" s="21"/>
      <c r="AC335" s="21"/>
      <c r="AD335" s="21"/>
    </row>
    <row r="336" spans="1:30" ht="15.75" customHeight="1">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c r="AA336" s="21"/>
      <c r="AB336" s="21"/>
      <c r="AC336" s="21"/>
      <c r="AD336" s="21"/>
    </row>
    <row r="337" spans="1:30" ht="15.75" customHeight="1">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c r="AA337" s="21"/>
      <c r="AB337" s="21"/>
      <c r="AC337" s="21"/>
      <c r="AD337" s="21"/>
    </row>
    <row r="338" spans="1:30" ht="15.75" customHeight="1">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c r="AA338" s="21"/>
      <c r="AB338" s="21"/>
      <c r="AC338" s="21"/>
      <c r="AD338" s="21"/>
    </row>
    <row r="339" spans="1:30" ht="15.75" customHeight="1">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c r="AA339" s="21"/>
      <c r="AB339" s="21"/>
      <c r="AC339" s="21"/>
      <c r="AD339" s="21"/>
    </row>
    <row r="340" spans="1:30" ht="15.75" customHeight="1">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c r="AA340" s="21"/>
      <c r="AB340" s="21"/>
      <c r="AC340" s="21"/>
      <c r="AD340" s="21"/>
    </row>
    <row r="341" spans="1:30" ht="15.75" customHeight="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c r="AA341" s="21"/>
      <c r="AB341" s="21"/>
      <c r="AC341" s="21"/>
      <c r="AD341" s="21"/>
    </row>
    <row r="342" spans="1:30" ht="15.75" customHeight="1">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c r="AA342" s="21"/>
      <c r="AB342" s="21"/>
      <c r="AC342" s="21"/>
      <c r="AD342" s="21"/>
    </row>
    <row r="343" spans="1:30" ht="15.75" customHeight="1">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c r="AA343" s="21"/>
      <c r="AB343" s="21"/>
      <c r="AC343" s="21"/>
      <c r="AD343" s="21"/>
    </row>
    <row r="344" spans="1:30" ht="15.75" customHeight="1">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c r="AA344" s="21"/>
      <c r="AB344" s="21"/>
      <c r="AC344" s="21"/>
      <c r="AD344" s="21"/>
    </row>
    <row r="345" spans="1:30" ht="15.75" customHeight="1">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c r="AA345" s="21"/>
      <c r="AB345" s="21"/>
      <c r="AC345" s="21"/>
      <c r="AD345" s="21"/>
    </row>
    <row r="346" spans="1:30" ht="15.75" customHeight="1">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c r="AA346" s="21"/>
      <c r="AB346" s="21"/>
      <c r="AC346" s="21"/>
      <c r="AD346" s="21"/>
    </row>
    <row r="347" spans="1:30" ht="15.75" customHeight="1">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c r="AA347" s="21"/>
      <c r="AB347" s="21"/>
      <c r="AC347" s="21"/>
      <c r="AD347" s="21"/>
    </row>
    <row r="348" spans="1:30" ht="15.75" customHeight="1">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c r="AA348" s="21"/>
      <c r="AB348" s="21"/>
      <c r="AC348" s="21"/>
      <c r="AD348" s="21"/>
    </row>
    <row r="349" spans="1:30" ht="15.75" customHeight="1">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c r="AA349" s="21"/>
      <c r="AB349" s="21"/>
      <c r="AC349" s="21"/>
      <c r="AD349" s="21"/>
    </row>
    <row r="350" spans="1:30" ht="15.75" customHeight="1">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c r="AA350" s="21"/>
      <c r="AB350" s="21"/>
      <c r="AC350" s="21"/>
      <c r="AD350" s="21"/>
    </row>
    <row r="351" spans="1:30" ht="15.75" customHeight="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c r="AA351" s="21"/>
      <c r="AB351" s="21"/>
      <c r="AC351" s="21"/>
      <c r="AD351" s="21"/>
    </row>
    <row r="352" spans="1:30" ht="15.75" customHeight="1">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c r="AA352" s="21"/>
      <c r="AB352" s="21"/>
      <c r="AC352" s="21"/>
      <c r="AD352" s="21"/>
    </row>
    <row r="353" spans="1:30" ht="15.75" customHeight="1">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c r="AA353" s="21"/>
      <c r="AB353" s="21"/>
      <c r="AC353" s="21"/>
      <c r="AD353" s="21"/>
    </row>
    <row r="354" spans="1:30" ht="15.75" customHeight="1">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c r="AA354" s="21"/>
      <c r="AB354" s="21"/>
      <c r="AC354" s="21"/>
      <c r="AD354" s="21"/>
    </row>
    <row r="355" spans="1:30" ht="15.75" customHeight="1">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c r="AA355" s="21"/>
      <c r="AB355" s="21"/>
      <c r="AC355" s="21"/>
      <c r="AD355" s="21"/>
    </row>
    <row r="356" spans="1:30" ht="15.75" customHeight="1">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c r="AA356" s="21"/>
      <c r="AB356" s="21"/>
      <c r="AC356" s="21"/>
      <c r="AD356" s="21"/>
    </row>
    <row r="357" spans="1:30" ht="15.75" customHeight="1">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c r="AA357" s="21"/>
      <c r="AB357" s="21"/>
      <c r="AC357" s="21"/>
      <c r="AD357" s="21"/>
    </row>
    <row r="358" spans="1:30" ht="15.75" customHeight="1">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c r="AA358" s="21"/>
      <c r="AB358" s="21"/>
      <c r="AC358" s="21"/>
      <c r="AD358" s="21"/>
    </row>
    <row r="359" spans="1:30" ht="15.75" customHeight="1">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c r="AA359" s="21"/>
      <c r="AB359" s="21"/>
      <c r="AC359" s="21"/>
      <c r="AD359" s="21"/>
    </row>
    <row r="360" spans="1:30" ht="15.75" customHeight="1">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c r="AA360" s="21"/>
      <c r="AB360" s="21"/>
      <c r="AC360" s="21"/>
      <c r="AD360" s="21"/>
    </row>
    <row r="361" spans="1:30" ht="15.75" customHeight="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c r="AA361" s="21"/>
      <c r="AB361" s="21"/>
      <c r="AC361" s="21"/>
      <c r="AD361" s="21"/>
    </row>
    <row r="362" spans="1:30" ht="15.75" customHeight="1">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c r="AA362" s="21"/>
      <c r="AB362" s="21"/>
      <c r="AC362" s="21"/>
      <c r="AD362" s="21"/>
    </row>
    <row r="363" spans="1:30" ht="15.75" customHeight="1">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c r="AA363" s="21"/>
      <c r="AB363" s="21"/>
      <c r="AC363" s="21"/>
      <c r="AD363" s="21"/>
    </row>
    <row r="364" spans="1:30" ht="15.75" customHeight="1">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c r="AA364" s="21"/>
      <c r="AB364" s="21"/>
      <c r="AC364" s="21"/>
      <c r="AD364" s="21"/>
    </row>
    <row r="365" spans="1:30" ht="15.75" customHeight="1">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c r="AA365" s="21"/>
      <c r="AB365" s="21"/>
      <c r="AC365" s="21"/>
      <c r="AD365" s="21"/>
    </row>
    <row r="366" spans="1:30" ht="15.75" customHeight="1">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c r="AA366" s="21"/>
      <c r="AB366" s="21"/>
      <c r="AC366" s="21"/>
      <c r="AD366" s="21"/>
    </row>
    <row r="367" spans="1:30" ht="15.75" customHeight="1">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c r="AA367" s="21"/>
      <c r="AB367" s="21"/>
      <c r="AC367" s="21"/>
      <c r="AD367" s="21"/>
    </row>
    <row r="368" spans="1:30" ht="15.75" customHeight="1">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c r="AA368" s="21"/>
      <c r="AB368" s="21"/>
      <c r="AC368" s="21"/>
      <c r="AD368" s="21"/>
    </row>
    <row r="369" spans="1:30" ht="15.75" customHeight="1">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c r="AA369" s="21"/>
      <c r="AB369" s="21"/>
      <c r="AC369" s="21"/>
      <c r="AD369" s="21"/>
    </row>
    <row r="370" spans="1:30" ht="15.75" customHeight="1">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c r="AA370" s="21"/>
      <c r="AB370" s="21"/>
      <c r="AC370" s="21"/>
      <c r="AD370" s="21"/>
    </row>
    <row r="371" spans="1:30" ht="15.75" customHeight="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c r="AA371" s="21"/>
      <c r="AB371" s="21"/>
      <c r="AC371" s="21"/>
      <c r="AD371" s="21"/>
    </row>
    <row r="372" spans="1:30" ht="15.75" customHeight="1">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c r="AA372" s="21"/>
      <c r="AB372" s="21"/>
      <c r="AC372" s="21"/>
      <c r="AD372" s="21"/>
    </row>
    <row r="373" spans="1:30" ht="15.75" customHeight="1">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c r="AA373" s="21"/>
      <c r="AB373" s="21"/>
      <c r="AC373" s="21"/>
      <c r="AD373" s="21"/>
    </row>
    <row r="374" spans="1:30" ht="15.75" customHeight="1">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c r="AA374" s="21"/>
      <c r="AB374" s="21"/>
      <c r="AC374" s="21"/>
      <c r="AD374" s="21"/>
    </row>
    <row r="375" spans="1:30" ht="15.75" customHeight="1">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c r="AA375" s="21"/>
      <c r="AB375" s="21"/>
      <c r="AC375" s="21"/>
      <c r="AD375" s="21"/>
    </row>
    <row r="376" spans="1:30" ht="15.75" customHeight="1">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c r="AA376" s="21"/>
      <c r="AB376" s="21"/>
      <c r="AC376" s="21"/>
      <c r="AD376" s="21"/>
    </row>
    <row r="377" spans="1:30" ht="15.75" customHeight="1">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c r="AA377" s="21"/>
      <c r="AB377" s="21"/>
      <c r="AC377" s="21"/>
      <c r="AD377" s="21"/>
    </row>
    <row r="378" spans="1:30" ht="15.75" customHeight="1">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c r="AA378" s="21"/>
      <c r="AB378" s="21"/>
      <c r="AC378" s="21"/>
      <c r="AD378" s="21"/>
    </row>
    <row r="379" spans="1:30" ht="15.75" customHeight="1">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c r="AA379" s="21"/>
      <c r="AB379" s="21"/>
      <c r="AC379" s="21"/>
      <c r="AD379" s="21"/>
    </row>
    <row r="380" spans="1:30" ht="15.75" customHeight="1">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c r="AA380" s="21"/>
      <c r="AB380" s="21"/>
      <c r="AC380" s="21"/>
      <c r="AD380" s="21"/>
    </row>
    <row r="381" spans="1:30" ht="15.75" customHeight="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c r="AA381" s="21"/>
      <c r="AB381" s="21"/>
      <c r="AC381" s="21"/>
      <c r="AD381" s="21"/>
    </row>
    <row r="382" spans="1:30" ht="15.75" customHeight="1">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c r="AA382" s="21"/>
      <c r="AB382" s="21"/>
      <c r="AC382" s="21"/>
      <c r="AD382" s="21"/>
    </row>
    <row r="383" spans="1:30" ht="15.75" customHeight="1">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c r="AA383" s="21"/>
      <c r="AB383" s="21"/>
      <c r="AC383" s="21"/>
      <c r="AD383" s="21"/>
    </row>
    <row r="384" spans="1:30" ht="15.75" customHeight="1">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c r="AA384" s="21"/>
      <c r="AB384" s="21"/>
      <c r="AC384" s="21"/>
      <c r="AD384" s="21"/>
    </row>
    <row r="385" spans="1:30" ht="15.75" customHeight="1">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c r="AA385" s="21"/>
      <c r="AB385" s="21"/>
      <c r="AC385" s="21"/>
      <c r="AD385" s="21"/>
    </row>
    <row r="386" spans="1:30" ht="15.75" customHeight="1">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c r="AA386" s="21"/>
      <c r="AB386" s="21"/>
      <c r="AC386" s="21"/>
      <c r="AD386" s="21"/>
    </row>
    <row r="387" spans="1:30" ht="15.75" customHeight="1">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c r="AA387" s="21"/>
      <c r="AB387" s="21"/>
      <c r="AC387" s="21"/>
      <c r="AD387" s="21"/>
    </row>
    <row r="388" spans="1:30" ht="15.75" customHeight="1">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c r="AA388" s="21"/>
      <c r="AB388" s="21"/>
      <c r="AC388" s="21"/>
      <c r="AD388" s="21"/>
    </row>
    <row r="389" spans="1:30" ht="15.75" customHeight="1">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c r="AA389" s="21"/>
      <c r="AB389" s="21"/>
      <c r="AC389" s="21"/>
      <c r="AD389" s="21"/>
    </row>
    <row r="390" spans="1:30" ht="15.75" customHeight="1">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c r="AA390" s="21"/>
      <c r="AB390" s="21"/>
      <c r="AC390" s="21"/>
      <c r="AD390" s="21"/>
    </row>
    <row r="391" spans="1:30" ht="15.75" customHeight="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c r="AA391" s="21"/>
      <c r="AB391" s="21"/>
      <c r="AC391" s="21"/>
      <c r="AD391" s="21"/>
    </row>
    <row r="392" spans="1:30" ht="15.75" customHeight="1">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c r="AA392" s="21"/>
      <c r="AB392" s="21"/>
      <c r="AC392" s="21"/>
      <c r="AD392" s="21"/>
    </row>
    <row r="393" spans="1:30" ht="15.75" customHeight="1">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c r="AA393" s="21"/>
      <c r="AB393" s="21"/>
      <c r="AC393" s="21"/>
      <c r="AD393" s="21"/>
    </row>
    <row r="394" spans="1:30" ht="15.75" customHeight="1">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c r="AA394" s="21"/>
      <c r="AB394" s="21"/>
      <c r="AC394" s="21"/>
      <c r="AD394" s="21"/>
    </row>
    <row r="395" spans="1:30" ht="15.75" customHeight="1">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c r="AA395" s="21"/>
      <c r="AB395" s="21"/>
      <c r="AC395" s="21"/>
      <c r="AD395" s="21"/>
    </row>
    <row r="396" spans="1:30" ht="15.75" customHeight="1">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c r="AA396" s="21"/>
      <c r="AB396" s="21"/>
      <c r="AC396" s="21"/>
      <c r="AD396" s="21"/>
    </row>
    <row r="397" spans="1:30" ht="15.75" customHeight="1">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c r="AA397" s="21"/>
      <c r="AB397" s="21"/>
      <c r="AC397" s="21"/>
      <c r="AD397" s="21"/>
    </row>
    <row r="398" spans="1:30" ht="15.75" customHeight="1">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c r="AA398" s="21"/>
      <c r="AB398" s="21"/>
      <c r="AC398" s="21"/>
      <c r="AD398" s="21"/>
    </row>
    <row r="399" spans="1:30" ht="15.75" customHeight="1">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c r="AA399" s="21"/>
      <c r="AB399" s="21"/>
      <c r="AC399" s="21"/>
      <c r="AD399" s="21"/>
    </row>
    <row r="400" spans="1:30" ht="15.75" customHeight="1">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c r="AA400" s="21"/>
      <c r="AB400" s="21"/>
      <c r="AC400" s="21"/>
      <c r="AD400" s="21"/>
    </row>
    <row r="401" spans="1:30" ht="15.75" customHeight="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c r="AA401" s="21"/>
      <c r="AB401" s="21"/>
      <c r="AC401" s="21"/>
      <c r="AD401" s="21"/>
    </row>
    <row r="402" spans="1:30" ht="15.75" customHeight="1">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c r="AA402" s="21"/>
      <c r="AB402" s="21"/>
      <c r="AC402" s="21"/>
      <c r="AD402" s="21"/>
    </row>
    <row r="403" spans="1:30" ht="15.75" customHeight="1">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c r="AA403" s="21"/>
      <c r="AB403" s="21"/>
      <c r="AC403" s="21"/>
      <c r="AD403" s="21"/>
    </row>
    <row r="404" spans="1:30" ht="15.75" customHeight="1">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c r="AA404" s="21"/>
      <c r="AB404" s="21"/>
      <c r="AC404" s="21"/>
      <c r="AD404" s="21"/>
    </row>
    <row r="405" spans="1:30" ht="15.75" customHeight="1">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c r="AA405" s="21"/>
      <c r="AB405" s="21"/>
      <c r="AC405" s="21"/>
      <c r="AD405" s="21"/>
    </row>
    <row r="406" spans="1:30" ht="15.75" customHeight="1">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c r="AA406" s="21"/>
      <c r="AB406" s="21"/>
      <c r="AC406" s="21"/>
      <c r="AD406" s="21"/>
    </row>
    <row r="407" spans="1:30" ht="15.75" customHeight="1">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c r="AA407" s="21"/>
      <c r="AB407" s="21"/>
      <c r="AC407" s="21"/>
      <c r="AD407" s="21"/>
    </row>
    <row r="408" spans="1:30" ht="15.75" customHeight="1">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c r="AA408" s="21"/>
      <c r="AB408" s="21"/>
      <c r="AC408" s="21"/>
      <c r="AD408" s="21"/>
    </row>
    <row r="409" spans="1:30" ht="15.75" customHeight="1">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c r="AA409" s="21"/>
      <c r="AB409" s="21"/>
      <c r="AC409" s="21"/>
      <c r="AD409" s="21"/>
    </row>
    <row r="410" spans="1:30" ht="15.75" customHeight="1">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c r="AA410" s="21"/>
      <c r="AB410" s="21"/>
      <c r="AC410" s="21"/>
      <c r="AD410" s="21"/>
    </row>
    <row r="411" spans="1:30" ht="15.75" customHeight="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c r="AA411" s="21"/>
      <c r="AB411" s="21"/>
      <c r="AC411" s="21"/>
      <c r="AD411" s="21"/>
    </row>
    <row r="412" spans="1:30" ht="15.75" customHeight="1">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c r="AA412" s="21"/>
      <c r="AB412" s="21"/>
      <c r="AC412" s="21"/>
      <c r="AD412" s="21"/>
    </row>
    <row r="413" spans="1:30" ht="15.75" customHeight="1">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c r="AA413" s="21"/>
      <c r="AB413" s="21"/>
      <c r="AC413" s="21"/>
      <c r="AD413" s="21"/>
    </row>
    <row r="414" spans="1:30" ht="15.75" customHeight="1">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c r="AA414" s="21"/>
      <c r="AB414" s="21"/>
      <c r="AC414" s="21"/>
      <c r="AD414" s="21"/>
    </row>
    <row r="415" spans="1:30" ht="15.75" customHeight="1">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c r="AA415" s="21"/>
      <c r="AB415" s="21"/>
      <c r="AC415" s="21"/>
      <c r="AD415" s="21"/>
    </row>
    <row r="416" spans="1:30" ht="15.75" customHeight="1">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c r="AA416" s="21"/>
      <c r="AB416" s="21"/>
      <c r="AC416" s="21"/>
      <c r="AD416" s="21"/>
    </row>
    <row r="417" spans="1:30" ht="15.75" customHeight="1">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c r="AA417" s="21"/>
      <c r="AB417" s="21"/>
      <c r="AC417" s="21"/>
      <c r="AD417" s="21"/>
    </row>
    <row r="418" spans="1:30" ht="15.75" customHeight="1">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c r="AA418" s="21"/>
      <c r="AB418" s="21"/>
      <c r="AC418" s="21"/>
      <c r="AD418" s="21"/>
    </row>
    <row r="419" spans="1:30" ht="15.75" customHeight="1">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c r="AA419" s="21"/>
      <c r="AB419" s="21"/>
      <c r="AC419" s="21"/>
      <c r="AD419" s="21"/>
    </row>
    <row r="420" spans="1:30" ht="15.75" customHeight="1">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c r="AA420" s="21"/>
      <c r="AB420" s="21"/>
      <c r="AC420" s="21"/>
      <c r="AD420" s="21"/>
    </row>
    <row r="421" spans="1:30" ht="15.75" customHeight="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c r="AA421" s="21"/>
      <c r="AB421" s="21"/>
      <c r="AC421" s="21"/>
      <c r="AD421" s="21"/>
    </row>
    <row r="422" spans="1:30" ht="15.75" customHeight="1">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c r="AA422" s="21"/>
      <c r="AB422" s="21"/>
      <c r="AC422" s="21"/>
      <c r="AD422" s="21"/>
    </row>
    <row r="423" spans="1:30" ht="15.75" customHeight="1">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c r="AA423" s="21"/>
      <c r="AB423" s="21"/>
      <c r="AC423" s="21"/>
      <c r="AD423" s="21"/>
    </row>
    <row r="424" spans="1:30" ht="15.75" customHeight="1">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c r="AA424" s="21"/>
      <c r="AB424" s="21"/>
      <c r="AC424" s="21"/>
      <c r="AD424" s="21"/>
    </row>
    <row r="425" spans="1:30" ht="15.75" customHeight="1">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c r="AA425" s="21"/>
      <c r="AB425" s="21"/>
      <c r="AC425" s="21"/>
      <c r="AD425" s="21"/>
    </row>
    <row r="426" spans="1:30" ht="15.75" customHeight="1">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c r="AA426" s="21"/>
      <c r="AB426" s="21"/>
      <c r="AC426" s="21"/>
      <c r="AD426" s="21"/>
    </row>
    <row r="427" spans="1:30" ht="15.75" customHeight="1">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c r="AA427" s="21"/>
      <c r="AB427" s="21"/>
      <c r="AC427" s="21"/>
      <c r="AD427" s="21"/>
    </row>
    <row r="428" spans="1:30" ht="15.75" customHeight="1">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c r="AA428" s="21"/>
      <c r="AB428" s="21"/>
      <c r="AC428" s="21"/>
      <c r="AD428" s="21"/>
    </row>
    <row r="429" spans="1:30" ht="15.75" customHeight="1">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c r="AA429" s="21"/>
      <c r="AB429" s="21"/>
      <c r="AC429" s="21"/>
      <c r="AD429" s="21"/>
    </row>
    <row r="430" spans="1:30" ht="15.75" customHeight="1">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c r="AA430" s="21"/>
      <c r="AB430" s="21"/>
      <c r="AC430" s="21"/>
      <c r="AD430" s="21"/>
    </row>
    <row r="431" spans="1:30" ht="15.75" customHeight="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c r="AA431" s="21"/>
      <c r="AB431" s="21"/>
      <c r="AC431" s="21"/>
      <c r="AD431" s="21"/>
    </row>
    <row r="432" spans="1:30" ht="15.75" customHeight="1">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c r="AA432" s="21"/>
      <c r="AB432" s="21"/>
      <c r="AC432" s="21"/>
      <c r="AD432" s="21"/>
    </row>
    <row r="433" spans="1:30" ht="15.75" customHeight="1">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c r="AA433" s="21"/>
      <c r="AB433" s="21"/>
      <c r="AC433" s="21"/>
      <c r="AD433" s="21"/>
    </row>
    <row r="434" spans="1:30" ht="15.75" customHeight="1">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c r="AA434" s="21"/>
      <c r="AB434" s="21"/>
      <c r="AC434" s="21"/>
      <c r="AD434" s="21"/>
    </row>
    <row r="435" spans="1:30" ht="15.75" customHeight="1">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c r="AA435" s="21"/>
      <c r="AB435" s="21"/>
      <c r="AC435" s="21"/>
      <c r="AD435" s="21"/>
    </row>
    <row r="436" spans="1:30" ht="15.75" customHeight="1">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c r="AA436" s="21"/>
      <c r="AB436" s="21"/>
      <c r="AC436" s="21"/>
      <c r="AD436" s="21"/>
    </row>
    <row r="437" spans="1:30" ht="15.75" customHeight="1">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c r="AA437" s="21"/>
      <c r="AB437" s="21"/>
      <c r="AC437" s="21"/>
      <c r="AD437" s="21"/>
    </row>
    <row r="438" spans="1:30" ht="15.75" customHeight="1">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c r="AA438" s="21"/>
      <c r="AB438" s="21"/>
      <c r="AC438" s="21"/>
      <c r="AD438" s="21"/>
    </row>
    <row r="439" spans="1:30" ht="15.75" customHeight="1">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c r="AA439" s="21"/>
      <c r="AB439" s="21"/>
      <c r="AC439" s="21"/>
      <c r="AD439" s="21"/>
    </row>
    <row r="440" spans="1:30" ht="15.75" customHeight="1">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c r="AA440" s="21"/>
      <c r="AB440" s="21"/>
      <c r="AC440" s="21"/>
      <c r="AD440" s="21"/>
    </row>
    <row r="441" spans="1:30" ht="15.75" customHeight="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c r="AA441" s="21"/>
      <c r="AB441" s="21"/>
      <c r="AC441" s="21"/>
      <c r="AD441" s="21"/>
    </row>
    <row r="442" spans="1:30" ht="15.75" customHeight="1">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c r="AA442" s="21"/>
      <c r="AB442" s="21"/>
      <c r="AC442" s="21"/>
      <c r="AD442" s="21"/>
    </row>
    <row r="443" spans="1:30" ht="15.75" customHeight="1">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c r="AA443" s="21"/>
      <c r="AB443" s="21"/>
      <c r="AC443" s="21"/>
      <c r="AD443" s="21"/>
    </row>
    <row r="444" spans="1:30" ht="15.75" customHeight="1">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c r="AA444" s="21"/>
      <c r="AB444" s="21"/>
      <c r="AC444" s="21"/>
      <c r="AD444" s="21"/>
    </row>
    <row r="445" spans="1:30" ht="15.75" customHeight="1">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c r="AA445" s="21"/>
      <c r="AB445" s="21"/>
      <c r="AC445" s="21"/>
      <c r="AD445" s="21"/>
    </row>
    <row r="446" spans="1:30" ht="15.75" customHeight="1">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c r="AA446" s="21"/>
      <c r="AB446" s="21"/>
      <c r="AC446" s="21"/>
      <c r="AD446" s="21"/>
    </row>
    <row r="447" spans="1:30" ht="15.75" customHeight="1">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c r="AA447" s="21"/>
      <c r="AB447" s="21"/>
      <c r="AC447" s="21"/>
      <c r="AD447" s="21"/>
    </row>
    <row r="448" spans="1:30" ht="15.75" customHeight="1">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c r="AA448" s="21"/>
      <c r="AB448" s="21"/>
      <c r="AC448" s="21"/>
      <c r="AD448" s="21"/>
    </row>
    <row r="449" spans="1:30" ht="15.75" customHeight="1">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c r="AA449" s="21"/>
      <c r="AB449" s="21"/>
      <c r="AC449" s="21"/>
      <c r="AD449" s="21"/>
    </row>
    <row r="450" spans="1:30" ht="15.75" customHeight="1">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c r="AA450" s="21"/>
      <c r="AB450" s="21"/>
      <c r="AC450" s="21"/>
      <c r="AD450" s="21"/>
    </row>
    <row r="451" spans="1:30" ht="15.75" customHeight="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c r="AA451" s="21"/>
      <c r="AB451" s="21"/>
      <c r="AC451" s="21"/>
      <c r="AD451" s="21"/>
    </row>
    <row r="452" spans="1:30" ht="15.75" customHeight="1">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c r="AA452" s="21"/>
      <c r="AB452" s="21"/>
      <c r="AC452" s="21"/>
      <c r="AD452" s="21"/>
    </row>
    <row r="453" spans="1:30" ht="15.75" customHeight="1">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c r="AA453" s="21"/>
      <c r="AB453" s="21"/>
      <c r="AC453" s="21"/>
      <c r="AD453" s="21"/>
    </row>
    <row r="454" spans="1:30" ht="15.75" customHeight="1">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c r="AA454" s="21"/>
      <c r="AB454" s="21"/>
      <c r="AC454" s="21"/>
      <c r="AD454" s="21"/>
    </row>
    <row r="455" spans="1:30" ht="15.75" customHeight="1">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c r="AA455" s="21"/>
      <c r="AB455" s="21"/>
      <c r="AC455" s="21"/>
      <c r="AD455" s="21"/>
    </row>
    <row r="456" spans="1:30" ht="15.75" customHeight="1">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c r="AA456" s="21"/>
      <c r="AB456" s="21"/>
      <c r="AC456" s="21"/>
      <c r="AD456" s="21"/>
    </row>
    <row r="457" spans="1:30" ht="15.75" customHeight="1">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c r="AA457" s="21"/>
      <c r="AB457" s="21"/>
      <c r="AC457" s="21"/>
      <c r="AD457" s="21"/>
    </row>
    <row r="458" spans="1:30" ht="15.75" customHeight="1">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c r="AA458" s="21"/>
      <c r="AB458" s="21"/>
      <c r="AC458" s="21"/>
      <c r="AD458" s="21"/>
    </row>
    <row r="459" spans="1:30" ht="15.75" customHeight="1">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c r="AA459" s="21"/>
      <c r="AB459" s="21"/>
      <c r="AC459" s="21"/>
      <c r="AD459" s="21"/>
    </row>
    <row r="460" spans="1:30" ht="15.75" customHeight="1">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c r="AA460" s="21"/>
      <c r="AB460" s="21"/>
      <c r="AC460" s="21"/>
      <c r="AD460" s="21"/>
    </row>
    <row r="461" spans="1:30" ht="15.75" customHeight="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c r="AA461" s="21"/>
      <c r="AB461" s="21"/>
      <c r="AC461" s="21"/>
      <c r="AD461" s="21"/>
    </row>
    <row r="462" spans="1:30" ht="15.75" customHeight="1">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c r="AA462" s="21"/>
      <c r="AB462" s="21"/>
      <c r="AC462" s="21"/>
      <c r="AD462" s="21"/>
    </row>
    <row r="463" spans="1:30" ht="15.75" customHeight="1">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c r="AA463" s="21"/>
      <c r="AB463" s="21"/>
      <c r="AC463" s="21"/>
      <c r="AD463" s="21"/>
    </row>
    <row r="464" spans="1:30" ht="15.75" customHeight="1">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c r="AA464" s="21"/>
      <c r="AB464" s="21"/>
      <c r="AC464" s="21"/>
      <c r="AD464" s="21"/>
    </row>
    <row r="465" spans="1:30" ht="15.75" customHeight="1">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c r="AA465" s="21"/>
      <c r="AB465" s="21"/>
      <c r="AC465" s="21"/>
      <c r="AD465" s="21"/>
    </row>
    <row r="466" spans="1:30" ht="15.75" customHeight="1">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c r="AA466" s="21"/>
      <c r="AB466" s="21"/>
      <c r="AC466" s="21"/>
      <c r="AD466" s="21"/>
    </row>
    <row r="467" spans="1:30" ht="15.75" customHeight="1">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c r="AA467" s="21"/>
      <c r="AB467" s="21"/>
      <c r="AC467" s="21"/>
      <c r="AD467" s="21"/>
    </row>
    <row r="468" spans="1:30" ht="15.75" customHeight="1">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c r="AA468" s="21"/>
      <c r="AB468" s="21"/>
      <c r="AC468" s="21"/>
      <c r="AD468" s="21"/>
    </row>
    <row r="469" spans="1:30" ht="15.75" customHeight="1">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c r="AA469" s="21"/>
      <c r="AB469" s="21"/>
      <c r="AC469" s="21"/>
      <c r="AD469" s="21"/>
    </row>
    <row r="470" spans="1:30" ht="15.75" customHeight="1">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c r="AA470" s="21"/>
      <c r="AB470" s="21"/>
      <c r="AC470" s="21"/>
      <c r="AD470" s="21"/>
    </row>
    <row r="471" spans="1:30" ht="15.75" customHeight="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c r="AA471" s="21"/>
      <c r="AB471" s="21"/>
      <c r="AC471" s="21"/>
      <c r="AD471" s="21"/>
    </row>
    <row r="472" spans="1:30" ht="15.75" customHeight="1">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c r="AA472" s="21"/>
      <c r="AB472" s="21"/>
      <c r="AC472" s="21"/>
      <c r="AD472" s="21"/>
    </row>
    <row r="473" spans="1:30" ht="15.75" customHeight="1">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c r="AA473" s="21"/>
      <c r="AB473" s="21"/>
      <c r="AC473" s="21"/>
      <c r="AD473" s="21"/>
    </row>
    <row r="474" spans="1:30" ht="15.75" customHeight="1">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c r="AA474" s="21"/>
      <c r="AB474" s="21"/>
      <c r="AC474" s="21"/>
      <c r="AD474" s="21"/>
    </row>
    <row r="475" spans="1:30" ht="15.75" customHeight="1">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c r="AA475" s="21"/>
      <c r="AB475" s="21"/>
      <c r="AC475" s="21"/>
      <c r="AD475" s="21"/>
    </row>
    <row r="476" spans="1:30" ht="15.75" customHeight="1">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c r="AA476" s="21"/>
      <c r="AB476" s="21"/>
      <c r="AC476" s="21"/>
      <c r="AD476" s="21"/>
    </row>
    <row r="477" spans="1:30" ht="15.75" customHeight="1">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c r="AA477" s="21"/>
      <c r="AB477" s="21"/>
      <c r="AC477" s="21"/>
      <c r="AD477" s="21"/>
    </row>
    <row r="478" spans="1:30" ht="15.75" customHeight="1">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c r="AA478" s="21"/>
      <c r="AB478" s="21"/>
      <c r="AC478" s="21"/>
      <c r="AD478" s="21"/>
    </row>
    <row r="479" spans="1:30" ht="15.75" customHeight="1">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c r="AA479" s="21"/>
      <c r="AB479" s="21"/>
      <c r="AC479" s="21"/>
      <c r="AD479" s="21"/>
    </row>
    <row r="480" spans="1:30" ht="15.75" customHeight="1">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c r="AA480" s="21"/>
      <c r="AB480" s="21"/>
      <c r="AC480" s="21"/>
      <c r="AD480" s="21"/>
    </row>
    <row r="481" spans="1:30" ht="15.75" customHeight="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c r="AA481" s="21"/>
      <c r="AB481" s="21"/>
      <c r="AC481" s="21"/>
      <c r="AD481" s="21"/>
    </row>
    <row r="482" spans="1:30" ht="15.75" customHeight="1">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c r="AA482" s="21"/>
      <c r="AB482" s="21"/>
      <c r="AC482" s="21"/>
      <c r="AD482" s="21"/>
    </row>
    <row r="483" spans="1:30" ht="15.75" customHeight="1">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c r="AA483" s="21"/>
      <c r="AB483" s="21"/>
      <c r="AC483" s="21"/>
      <c r="AD483" s="21"/>
    </row>
    <row r="484" spans="1:30" ht="15.75" customHeight="1">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c r="AA484" s="21"/>
      <c r="AB484" s="21"/>
      <c r="AC484" s="21"/>
      <c r="AD484" s="21"/>
    </row>
    <row r="485" spans="1:30" ht="15.75" customHeight="1">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c r="AA485" s="21"/>
      <c r="AB485" s="21"/>
      <c r="AC485" s="21"/>
      <c r="AD485" s="21"/>
    </row>
    <row r="486" spans="1:30" ht="15.75" customHeight="1">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c r="AA486" s="21"/>
      <c r="AB486" s="21"/>
      <c r="AC486" s="21"/>
      <c r="AD486" s="21"/>
    </row>
    <row r="487" spans="1:30" ht="15.75" customHeight="1">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c r="AA487" s="21"/>
      <c r="AB487" s="21"/>
      <c r="AC487" s="21"/>
      <c r="AD487" s="21"/>
    </row>
    <row r="488" spans="1:30" ht="15.75" customHeight="1">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c r="AA488" s="21"/>
      <c r="AB488" s="21"/>
      <c r="AC488" s="21"/>
      <c r="AD488" s="21"/>
    </row>
    <row r="489" spans="1:30" ht="15.75" customHeight="1">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c r="AA489" s="21"/>
      <c r="AB489" s="21"/>
      <c r="AC489" s="21"/>
      <c r="AD489" s="21"/>
    </row>
    <row r="490" spans="1:30" ht="15.75" customHeight="1">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c r="AA490" s="21"/>
      <c r="AB490" s="21"/>
      <c r="AC490" s="21"/>
      <c r="AD490" s="21"/>
    </row>
    <row r="491" spans="1:30" ht="15.75" customHeight="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c r="AA491" s="21"/>
      <c r="AB491" s="21"/>
      <c r="AC491" s="21"/>
      <c r="AD491" s="21"/>
    </row>
    <row r="492" spans="1:30" ht="15.75" customHeight="1">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c r="AA492" s="21"/>
      <c r="AB492" s="21"/>
      <c r="AC492" s="21"/>
      <c r="AD492" s="21"/>
    </row>
    <row r="493" spans="1:30" ht="15.75" customHeight="1">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c r="AA493" s="21"/>
      <c r="AB493" s="21"/>
      <c r="AC493" s="21"/>
      <c r="AD493" s="21"/>
    </row>
    <row r="494" spans="1:30" ht="15.75" customHeight="1">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c r="AA494" s="21"/>
      <c r="AB494" s="21"/>
      <c r="AC494" s="21"/>
      <c r="AD494" s="21"/>
    </row>
    <row r="495" spans="1:30" ht="15.75" customHeight="1">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c r="AA495" s="21"/>
      <c r="AB495" s="21"/>
      <c r="AC495" s="21"/>
      <c r="AD495" s="21"/>
    </row>
    <row r="496" spans="1:30" ht="15.75" customHeight="1">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c r="AA496" s="21"/>
      <c r="AB496" s="21"/>
      <c r="AC496" s="21"/>
      <c r="AD496" s="21"/>
    </row>
    <row r="497" spans="1:30" ht="15.75" customHeight="1">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c r="AA497" s="21"/>
      <c r="AB497" s="21"/>
      <c r="AC497" s="21"/>
      <c r="AD497" s="21"/>
    </row>
    <row r="498" spans="1:30" ht="15.75" customHeight="1">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c r="AA498" s="21"/>
      <c r="AB498" s="21"/>
      <c r="AC498" s="21"/>
      <c r="AD498" s="21"/>
    </row>
    <row r="499" spans="1:30" ht="15.75" customHeight="1">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c r="AA499" s="21"/>
      <c r="AB499" s="21"/>
      <c r="AC499" s="21"/>
      <c r="AD499" s="21"/>
    </row>
    <row r="500" spans="1:30" ht="15.75" customHeight="1">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c r="AA500" s="21"/>
      <c r="AB500" s="21"/>
      <c r="AC500" s="21"/>
      <c r="AD500" s="21"/>
    </row>
    <row r="501" spans="1:30" ht="15.75" customHeight="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c r="AA501" s="21"/>
      <c r="AB501" s="21"/>
      <c r="AC501" s="21"/>
      <c r="AD501" s="21"/>
    </row>
    <row r="502" spans="1:30" ht="15.75" customHeight="1">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c r="AA502" s="21"/>
      <c r="AB502" s="21"/>
      <c r="AC502" s="21"/>
      <c r="AD502" s="21"/>
    </row>
    <row r="503" spans="1:30" ht="15.75" customHeight="1">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c r="AA503" s="21"/>
      <c r="AB503" s="21"/>
      <c r="AC503" s="21"/>
      <c r="AD503" s="21"/>
    </row>
    <row r="504" spans="1:30" ht="15.75" customHeight="1">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c r="AA504" s="21"/>
      <c r="AB504" s="21"/>
      <c r="AC504" s="21"/>
      <c r="AD504" s="21"/>
    </row>
    <row r="505" spans="1:30" ht="15.75" customHeight="1">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c r="AA505" s="21"/>
      <c r="AB505" s="21"/>
      <c r="AC505" s="21"/>
      <c r="AD505" s="21"/>
    </row>
    <row r="506" spans="1:30" ht="15.75" customHeight="1">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c r="AA506" s="21"/>
      <c r="AB506" s="21"/>
      <c r="AC506" s="21"/>
      <c r="AD506" s="21"/>
    </row>
    <row r="507" spans="1:30" ht="15.75" customHeight="1">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c r="AA507" s="21"/>
      <c r="AB507" s="21"/>
      <c r="AC507" s="21"/>
      <c r="AD507" s="21"/>
    </row>
    <row r="508" spans="1:30" ht="15.75" customHeight="1">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c r="AA508" s="21"/>
      <c r="AB508" s="21"/>
      <c r="AC508" s="21"/>
      <c r="AD508" s="21"/>
    </row>
    <row r="509" spans="1:30" ht="15.75" customHeight="1">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c r="AA509" s="21"/>
      <c r="AB509" s="21"/>
      <c r="AC509" s="21"/>
      <c r="AD509" s="21"/>
    </row>
    <row r="510" spans="1:30" ht="15.75" customHeight="1">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c r="AA510" s="21"/>
      <c r="AB510" s="21"/>
      <c r="AC510" s="21"/>
      <c r="AD510" s="21"/>
    </row>
    <row r="511" spans="1:30" ht="15.75" customHeight="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c r="AA511" s="21"/>
      <c r="AB511" s="21"/>
      <c r="AC511" s="21"/>
      <c r="AD511" s="21"/>
    </row>
    <row r="512" spans="1:30" ht="15.75" customHeight="1">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c r="AA512" s="21"/>
      <c r="AB512" s="21"/>
      <c r="AC512" s="21"/>
      <c r="AD512" s="21"/>
    </row>
    <row r="513" spans="1:30" ht="15.75" customHeight="1">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c r="AA513" s="21"/>
      <c r="AB513" s="21"/>
      <c r="AC513" s="21"/>
      <c r="AD513" s="21"/>
    </row>
    <row r="514" spans="1:30" ht="15.75" customHeight="1">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c r="AA514" s="21"/>
      <c r="AB514" s="21"/>
      <c r="AC514" s="21"/>
      <c r="AD514" s="21"/>
    </row>
    <row r="515" spans="1:30" ht="15.75" customHeight="1">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c r="AA515" s="21"/>
      <c r="AB515" s="21"/>
      <c r="AC515" s="21"/>
      <c r="AD515" s="21"/>
    </row>
    <row r="516" spans="1:30" ht="15.75" customHeight="1">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c r="AA516" s="21"/>
      <c r="AB516" s="21"/>
      <c r="AC516" s="21"/>
      <c r="AD516" s="21"/>
    </row>
    <row r="517" spans="1:30" ht="15.75" customHeight="1">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c r="AA517" s="21"/>
      <c r="AB517" s="21"/>
      <c r="AC517" s="21"/>
      <c r="AD517" s="21"/>
    </row>
    <row r="518" spans="1:30" ht="15.75" customHeight="1">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c r="AA518" s="21"/>
      <c r="AB518" s="21"/>
      <c r="AC518" s="21"/>
      <c r="AD518" s="21"/>
    </row>
    <row r="519" spans="1:30" ht="15.75" customHeight="1">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c r="AA519" s="21"/>
      <c r="AB519" s="21"/>
      <c r="AC519" s="21"/>
      <c r="AD519" s="21"/>
    </row>
    <row r="520" spans="1:30" ht="15.75" customHeight="1">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c r="AA520" s="21"/>
      <c r="AB520" s="21"/>
      <c r="AC520" s="21"/>
      <c r="AD520" s="21"/>
    </row>
    <row r="521" spans="1:30" ht="15.75" customHeight="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c r="AA521" s="21"/>
      <c r="AB521" s="21"/>
      <c r="AC521" s="21"/>
      <c r="AD521" s="21"/>
    </row>
    <row r="522" spans="1:30" ht="15.75" customHeight="1">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c r="AA522" s="21"/>
      <c r="AB522" s="21"/>
      <c r="AC522" s="21"/>
      <c r="AD522" s="21"/>
    </row>
    <row r="523" spans="1:30" ht="15.75" customHeight="1">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c r="AA523" s="21"/>
      <c r="AB523" s="21"/>
      <c r="AC523" s="21"/>
      <c r="AD523" s="21"/>
    </row>
    <row r="524" spans="1:30" ht="15.75" customHeight="1">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c r="AA524" s="21"/>
      <c r="AB524" s="21"/>
      <c r="AC524" s="21"/>
      <c r="AD524" s="21"/>
    </row>
    <row r="525" spans="1:30" ht="15.75" customHeight="1">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c r="AA525" s="21"/>
      <c r="AB525" s="21"/>
      <c r="AC525" s="21"/>
      <c r="AD525" s="21"/>
    </row>
    <row r="526" spans="1:30" ht="15.75" customHeight="1">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c r="AA526" s="21"/>
      <c r="AB526" s="21"/>
      <c r="AC526" s="21"/>
      <c r="AD526" s="21"/>
    </row>
    <row r="527" spans="1:30" ht="15.75" customHeight="1">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c r="AA527" s="21"/>
      <c r="AB527" s="21"/>
      <c r="AC527" s="21"/>
      <c r="AD527" s="21"/>
    </row>
    <row r="528" spans="1:30" ht="15.75" customHeight="1">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c r="AA528" s="21"/>
      <c r="AB528" s="21"/>
      <c r="AC528" s="21"/>
      <c r="AD528" s="21"/>
    </row>
    <row r="529" spans="1:30" ht="15.75" customHeight="1">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c r="AA529" s="21"/>
      <c r="AB529" s="21"/>
      <c r="AC529" s="21"/>
      <c r="AD529" s="21"/>
    </row>
    <row r="530" spans="1:30" ht="15.75" customHeight="1">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c r="AA530" s="21"/>
      <c r="AB530" s="21"/>
      <c r="AC530" s="21"/>
      <c r="AD530" s="21"/>
    </row>
    <row r="531" spans="1:30" ht="15.75" customHeight="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c r="AA531" s="21"/>
      <c r="AB531" s="21"/>
      <c r="AC531" s="21"/>
      <c r="AD531" s="21"/>
    </row>
    <row r="532" spans="1:30" ht="15.75" customHeight="1">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c r="AA532" s="21"/>
      <c r="AB532" s="21"/>
      <c r="AC532" s="21"/>
      <c r="AD532" s="21"/>
    </row>
    <row r="533" spans="1:30" ht="15.75" customHeight="1">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c r="AA533" s="21"/>
      <c r="AB533" s="21"/>
      <c r="AC533" s="21"/>
      <c r="AD533" s="21"/>
    </row>
    <row r="534" spans="1:30" ht="15.75" customHeight="1">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c r="AA534" s="21"/>
      <c r="AB534" s="21"/>
      <c r="AC534" s="21"/>
      <c r="AD534" s="21"/>
    </row>
    <row r="535" spans="1:30" ht="15.75" customHeight="1">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c r="AA535" s="21"/>
      <c r="AB535" s="21"/>
      <c r="AC535" s="21"/>
      <c r="AD535" s="21"/>
    </row>
    <row r="536" spans="1:30" ht="15.75" customHeight="1">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c r="AA536" s="21"/>
      <c r="AB536" s="21"/>
      <c r="AC536" s="21"/>
      <c r="AD536" s="21"/>
    </row>
    <row r="537" spans="1:30" ht="15.75" customHeight="1">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c r="AA537" s="21"/>
      <c r="AB537" s="21"/>
      <c r="AC537" s="21"/>
      <c r="AD537" s="21"/>
    </row>
    <row r="538" spans="1:30" ht="15.75" customHeight="1">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c r="AA538" s="21"/>
      <c r="AB538" s="21"/>
      <c r="AC538" s="21"/>
      <c r="AD538" s="21"/>
    </row>
    <row r="539" spans="1:30" ht="15.75" customHeight="1">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c r="AA539" s="21"/>
      <c r="AB539" s="21"/>
      <c r="AC539" s="21"/>
      <c r="AD539" s="21"/>
    </row>
    <row r="540" spans="1:30" ht="15.75" customHeight="1">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c r="AA540" s="21"/>
      <c r="AB540" s="21"/>
      <c r="AC540" s="21"/>
      <c r="AD540" s="21"/>
    </row>
    <row r="541" spans="1:30" ht="15.75" customHeight="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c r="AA541" s="21"/>
      <c r="AB541" s="21"/>
      <c r="AC541" s="21"/>
      <c r="AD541" s="21"/>
    </row>
    <row r="542" spans="1:30" ht="15.75" customHeight="1">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c r="AA542" s="21"/>
      <c r="AB542" s="21"/>
      <c r="AC542" s="21"/>
      <c r="AD542" s="21"/>
    </row>
    <row r="543" spans="1:30" ht="15.75" customHeight="1">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c r="AA543" s="21"/>
      <c r="AB543" s="21"/>
      <c r="AC543" s="21"/>
      <c r="AD543" s="21"/>
    </row>
    <row r="544" spans="1:30" ht="15.75" customHeight="1">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c r="AA544" s="21"/>
      <c r="AB544" s="21"/>
      <c r="AC544" s="21"/>
      <c r="AD544" s="21"/>
    </row>
    <row r="545" spans="1:30" ht="15.75" customHeight="1">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c r="AA545" s="21"/>
      <c r="AB545" s="21"/>
      <c r="AC545" s="21"/>
      <c r="AD545" s="21"/>
    </row>
    <row r="546" spans="1:30" ht="15.75" customHeight="1">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c r="AA546" s="21"/>
      <c r="AB546" s="21"/>
      <c r="AC546" s="21"/>
      <c r="AD546" s="21"/>
    </row>
    <row r="547" spans="1:30" ht="15.75" customHeight="1">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c r="AA547" s="21"/>
      <c r="AB547" s="21"/>
      <c r="AC547" s="21"/>
      <c r="AD547" s="21"/>
    </row>
    <row r="548" spans="1:30" ht="15.75" customHeight="1">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c r="AA548" s="21"/>
      <c r="AB548" s="21"/>
      <c r="AC548" s="21"/>
      <c r="AD548" s="21"/>
    </row>
    <row r="549" spans="1:30" ht="15.75" customHeight="1">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c r="AA549" s="21"/>
      <c r="AB549" s="21"/>
      <c r="AC549" s="21"/>
      <c r="AD549" s="21"/>
    </row>
    <row r="550" spans="1:30" ht="15.75" customHeight="1">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c r="AA550" s="21"/>
      <c r="AB550" s="21"/>
      <c r="AC550" s="21"/>
      <c r="AD550" s="21"/>
    </row>
    <row r="551" spans="1:30" ht="15.75" customHeight="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c r="AA551" s="21"/>
      <c r="AB551" s="21"/>
      <c r="AC551" s="21"/>
      <c r="AD551" s="21"/>
    </row>
    <row r="552" spans="1:30" ht="15.75" customHeight="1">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c r="AA552" s="21"/>
      <c r="AB552" s="21"/>
      <c r="AC552" s="21"/>
      <c r="AD552" s="21"/>
    </row>
    <row r="553" spans="1:30" ht="15.75" customHeight="1">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c r="AA553" s="21"/>
      <c r="AB553" s="21"/>
      <c r="AC553" s="21"/>
      <c r="AD553" s="21"/>
    </row>
    <row r="554" spans="1:30" ht="15.75" customHeight="1">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c r="AA554" s="21"/>
      <c r="AB554" s="21"/>
      <c r="AC554" s="21"/>
      <c r="AD554" s="21"/>
    </row>
    <row r="555" spans="1:30" ht="15.75" customHeight="1">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c r="AA555" s="21"/>
      <c r="AB555" s="21"/>
      <c r="AC555" s="21"/>
      <c r="AD555" s="21"/>
    </row>
    <row r="556" spans="1:30" ht="15.75" customHeight="1">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c r="AA556" s="21"/>
      <c r="AB556" s="21"/>
      <c r="AC556" s="21"/>
      <c r="AD556" s="21"/>
    </row>
    <row r="557" spans="1:30" ht="15.75" customHeight="1">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c r="AA557" s="21"/>
      <c r="AB557" s="21"/>
      <c r="AC557" s="21"/>
      <c r="AD557" s="21"/>
    </row>
    <row r="558" spans="1:30" ht="15.75" customHeight="1">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c r="AA558" s="21"/>
      <c r="AB558" s="21"/>
      <c r="AC558" s="21"/>
      <c r="AD558" s="21"/>
    </row>
    <row r="559" spans="1:30" ht="15.75" customHeight="1">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c r="AA559" s="21"/>
      <c r="AB559" s="21"/>
      <c r="AC559" s="21"/>
      <c r="AD559" s="21"/>
    </row>
    <row r="560" spans="1:30" ht="15.75" customHeight="1">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c r="AA560" s="21"/>
      <c r="AB560" s="21"/>
      <c r="AC560" s="21"/>
      <c r="AD560" s="21"/>
    </row>
    <row r="561" spans="1:30" ht="15.75" customHeight="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c r="AA561" s="21"/>
      <c r="AB561" s="21"/>
      <c r="AC561" s="21"/>
      <c r="AD561" s="21"/>
    </row>
    <row r="562" spans="1:30" ht="15.75" customHeight="1">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c r="AA562" s="21"/>
      <c r="AB562" s="21"/>
      <c r="AC562" s="21"/>
      <c r="AD562" s="21"/>
    </row>
    <row r="563" spans="1:30" ht="15.75" customHeight="1">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c r="AA563" s="21"/>
      <c r="AB563" s="21"/>
      <c r="AC563" s="21"/>
      <c r="AD563" s="21"/>
    </row>
    <row r="564" spans="1:30" ht="15.75" customHeight="1">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c r="AA564" s="21"/>
      <c r="AB564" s="21"/>
      <c r="AC564" s="21"/>
      <c r="AD564" s="21"/>
    </row>
    <row r="565" spans="1:30" ht="15.75" customHeight="1">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c r="AA565" s="21"/>
      <c r="AB565" s="21"/>
      <c r="AC565" s="21"/>
      <c r="AD565" s="21"/>
    </row>
    <row r="566" spans="1:30" ht="15.75" customHeight="1">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c r="AA566" s="21"/>
      <c r="AB566" s="21"/>
      <c r="AC566" s="21"/>
      <c r="AD566" s="21"/>
    </row>
    <row r="567" spans="1:30" ht="15.75" customHeight="1">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c r="AA567" s="21"/>
      <c r="AB567" s="21"/>
      <c r="AC567" s="21"/>
      <c r="AD567" s="21"/>
    </row>
    <row r="568" spans="1:30" ht="15.75" customHeight="1">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c r="AA568" s="21"/>
      <c r="AB568" s="21"/>
      <c r="AC568" s="21"/>
      <c r="AD568" s="21"/>
    </row>
    <row r="569" spans="1:30" ht="15.75" customHeight="1">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c r="AA569" s="21"/>
      <c r="AB569" s="21"/>
      <c r="AC569" s="21"/>
      <c r="AD569" s="21"/>
    </row>
    <row r="570" spans="1:30" ht="15.75" customHeight="1">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c r="AA570" s="21"/>
      <c r="AB570" s="21"/>
      <c r="AC570" s="21"/>
      <c r="AD570" s="21"/>
    </row>
    <row r="571" spans="1:30" ht="15.75" customHeight="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c r="AA571" s="21"/>
      <c r="AB571" s="21"/>
      <c r="AC571" s="21"/>
      <c r="AD571" s="21"/>
    </row>
    <row r="572" spans="1:30" ht="15.75" customHeight="1">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c r="AA572" s="21"/>
      <c r="AB572" s="21"/>
      <c r="AC572" s="21"/>
      <c r="AD572" s="21"/>
    </row>
    <row r="573" spans="1:30" ht="15.75" customHeight="1">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c r="AA573" s="21"/>
      <c r="AB573" s="21"/>
      <c r="AC573" s="21"/>
      <c r="AD573" s="21"/>
    </row>
    <row r="574" spans="1:30" ht="15.75" customHeight="1">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c r="AA574" s="21"/>
      <c r="AB574" s="21"/>
      <c r="AC574" s="21"/>
      <c r="AD574" s="21"/>
    </row>
    <row r="575" spans="1:30" ht="15.75" customHeight="1">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c r="AA575" s="21"/>
      <c r="AB575" s="21"/>
      <c r="AC575" s="21"/>
      <c r="AD575" s="21"/>
    </row>
    <row r="576" spans="1:30" ht="15.75" customHeight="1">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c r="AA576" s="21"/>
      <c r="AB576" s="21"/>
      <c r="AC576" s="21"/>
      <c r="AD576" s="21"/>
    </row>
    <row r="577" spans="1:30" ht="15.75" customHeight="1">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c r="AA577" s="21"/>
      <c r="AB577" s="21"/>
      <c r="AC577" s="21"/>
      <c r="AD577" s="21"/>
    </row>
    <row r="578" spans="1:30" ht="15.75" customHeight="1">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c r="AA578" s="21"/>
      <c r="AB578" s="21"/>
      <c r="AC578" s="21"/>
      <c r="AD578" s="21"/>
    </row>
    <row r="579" spans="1:30" ht="15.75" customHeight="1">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c r="AA579" s="21"/>
      <c r="AB579" s="21"/>
      <c r="AC579" s="21"/>
      <c r="AD579" s="21"/>
    </row>
    <row r="580" spans="1:30" ht="15.75" customHeight="1">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c r="AA580" s="21"/>
      <c r="AB580" s="21"/>
      <c r="AC580" s="21"/>
      <c r="AD580" s="21"/>
    </row>
    <row r="581" spans="1:30" ht="15.75" customHeight="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c r="AA581" s="21"/>
      <c r="AB581" s="21"/>
      <c r="AC581" s="21"/>
      <c r="AD581" s="21"/>
    </row>
    <row r="582" spans="1:30" ht="15.75" customHeight="1">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c r="AA582" s="21"/>
      <c r="AB582" s="21"/>
      <c r="AC582" s="21"/>
      <c r="AD582" s="21"/>
    </row>
    <row r="583" spans="1:30" ht="15.75" customHeight="1">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c r="AA583" s="21"/>
      <c r="AB583" s="21"/>
      <c r="AC583" s="21"/>
      <c r="AD583" s="21"/>
    </row>
    <row r="584" spans="1:30" ht="15.75" customHeight="1">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c r="AA584" s="21"/>
      <c r="AB584" s="21"/>
      <c r="AC584" s="21"/>
      <c r="AD584" s="21"/>
    </row>
    <row r="585" spans="1:30" ht="15.75" customHeight="1">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c r="AA585" s="21"/>
      <c r="AB585" s="21"/>
      <c r="AC585" s="21"/>
      <c r="AD585" s="21"/>
    </row>
    <row r="586" spans="1:30" ht="15.75" customHeight="1">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c r="AA586" s="21"/>
      <c r="AB586" s="21"/>
      <c r="AC586" s="21"/>
      <c r="AD586" s="21"/>
    </row>
    <row r="587" spans="1:30" ht="15.75" customHeight="1">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c r="AA587" s="21"/>
      <c r="AB587" s="21"/>
      <c r="AC587" s="21"/>
      <c r="AD587" s="21"/>
    </row>
    <row r="588" spans="1:30" ht="15.75" customHeight="1">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c r="AA588" s="21"/>
      <c r="AB588" s="21"/>
      <c r="AC588" s="21"/>
      <c r="AD588" s="21"/>
    </row>
    <row r="589" spans="1:30" ht="15.75" customHeight="1">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c r="AA589" s="21"/>
      <c r="AB589" s="21"/>
      <c r="AC589" s="21"/>
      <c r="AD589" s="21"/>
    </row>
    <row r="590" spans="1:30" ht="15.75" customHeight="1">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c r="AA590" s="21"/>
      <c r="AB590" s="21"/>
      <c r="AC590" s="21"/>
      <c r="AD590" s="21"/>
    </row>
    <row r="591" spans="1:30" ht="15.75" customHeight="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c r="AA591" s="21"/>
      <c r="AB591" s="21"/>
      <c r="AC591" s="21"/>
      <c r="AD591" s="21"/>
    </row>
    <row r="592" spans="1:30" ht="15.75" customHeight="1">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c r="AA592" s="21"/>
      <c r="AB592" s="21"/>
      <c r="AC592" s="21"/>
      <c r="AD592" s="21"/>
    </row>
    <row r="593" spans="1:30" ht="15.75" customHeight="1">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c r="AA593" s="21"/>
      <c r="AB593" s="21"/>
      <c r="AC593" s="21"/>
      <c r="AD593" s="21"/>
    </row>
    <row r="594" spans="1:30" ht="15.75" customHeight="1">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c r="AA594" s="21"/>
      <c r="AB594" s="21"/>
      <c r="AC594" s="21"/>
      <c r="AD594" s="21"/>
    </row>
    <row r="595" spans="1:30" ht="15.75" customHeight="1">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c r="AA595" s="21"/>
      <c r="AB595" s="21"/>
      <c r="AC595" s="21"/>
      <c r="AD595" s="21"/>
    </row>
    <row r="596" spans="1:30" ht="15.75" customHeight="1">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c r="AA596" s="21"/>
      <c r="AB596" s="21"/>
      <c r="AC596" s="21"/>
      <c r="AD596" s="21"/>
    </row>
    <row r="597" spans="1:30" ht="15.75" customHeight="1">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c r="AA597" s="21"/>
      <c r="AB597" s="21"/>
      <c r="AC597" s="21"/>
      <c r="AD597" s="21"/>
    </row>
    <row r="598" spans="1:30" ht="15.75" customHeight="1">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c r="AA598" s="21"/>
      <c r="AB598" s="21"/>
      <c r="AC598" s="21"/>
      <c r="AD598" s="21"/>
    </row>
    <row r="599" spans="1:30" ht="15.75" customHeight="1">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c r="AA599" s="21"/>
      <c r="AB599" s="21"/>
      <c r="AC599" s="21"/>
      <c r="AD599" s="21"/>
    </row>
    <row r="600" spans="1:30" ht="15.75" customHeight="1">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c r="AA600" s="21"/>
      <c r="AB600" s="21"/>
      <c r="AC600" s="21"/>
      <c r="AD600" s="21"/>
    </row>
    <row r="601" spans="1:30" ht="15.75" customHeight="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c r="AA601" s="21"/>
      <c r="AB601" s="21"/>
      <c r="AC601" s="21"/>
      <c r="AD601" s="21"/>
    </row>
    <row r="602" spans="1:30" ht="15.75" customHeight="1">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c r="AA602" s="21"/>
      <c r="AB602" s="21"/>
      <c r="AC602" s="21"/>
      <c r="AD602" s="21"/>
    </row>
    <row r="603" spans="1:30" ht="15.75" customHeight="1">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c r="AA603" s="21"/>
      <c r="AB603" s="21"/>
      <c r="AC603" s="21"/>
      <c r="AD603" s="21"/>
    </row>
    <row r="604" spans="1:30" ht="15.75" customHeight="1">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c r="AA604" s="21"/>
      <c r="AB604" s="21"/>
      <c r="AC604" s="21"/>
      <c r="AD604" s="21"/>
    </row>
    <row r="605" spans="1:30" ht="15.75" customHeight="1">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c r="AA605" s="21"/>
      <c r="AB605" s="21"/>
      <c r="AC605" s="21"/>
      <c r="AD605" s="21"/>
    </row>
    <row r="606" spans="1:30" ht="15.75" customHeight="1">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c r="AA606" s="21"/>
      <c r="AB606" s="21"/>
      <c r="AC606" s="21"/>
      <c r="AD606" s="21"/>
    </row>
    <row r="607" spans="1:30" ht="15.75" customHeight="1">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c r="AA607" s="21"/>
      <c r="AB607" s="21"/>
      <c r="AC607" s="21"/>
      <c r="AD607" s="21"/>
    </row>
    <row r="608" spans="1:30" ht="15.75" customHeight="1">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c r="AA608" s="21"/>
      <c r="AB608" s="21"/>
      <c r="AC608" s="21"/>
      <c r="AD608" s="21"/>
    </row>
    <row r="609" spans="1:30" ht="15.75" customHeight="1">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c r="AA609" s="21"/>
      <c r="AB609" s="21"/>
      <c r="AC609" s="21"/>
      <c r="AD609" s="21"/>
    </row>
    <row r="610" spans="1:30" ht="15.75" customHeight="1">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c r="AA610" s="21"/>
      <c r="AB610" s="21"/>
      <c r="AC610" s="21"/>
      <c r="AD610" s="21"/>
    </row>
    <row r="611" spans="1:30" ht="15.75" customHeight="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c r="AA611" s="21"/>
      <c r="AB611" s="21"/>
      <c r="AC611" s="21"/>
      <c r="AD611" s="21"/>
    </row>
    <row r="612" spans="1:30" ht="15.75" customHeight="1">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c r="AA612" s="21"/>
      <c r="AB612" s="21"/>
      <c r="AC612" s="21"/>
      <c r="AD612" s="21"/>
    </row>
    <row r="613" spans="1:30" ht="15.75" customHeight="1">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c r="AA613" s="21"/>
      <c r="AB613" s="21"/>
      <c r="AC613" s="21"/>
      <c r="AD613" s="21"/>
    </row>
    <row r="614" spans="1:30" ht="15.75" customHeight="1">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c r="AA614" s="21"/>
      <c r="AB614" s="21"/>
      <c r="AC614" s="21"/>
      <c r="AD614" s="21"/>
    </row>
    <row r="615" spans="1:30" ht="15.75" customHeight="1">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c r="AA615" s="21"/>
      <c r="AB615" s="21"/>
      <c r="AC615" s="21"/>
      <c r="AD615" s="21"/>
    </row>
    <row r="616" spans="1:30" ht="15.75" customHeight="1">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c r="AA616" s="21"/>
      <c r="AB616" s="21"/>
      <c r="AC616" s="21"/>
      <c r="AD616" s="21"/>
    </row>
    <row r="617" spans="1:30" ht="15.75" customHeight="1">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c r="AA617" s="21"/>
      <c r="AB617" s="21"/>
      <c r="AC617" s="21"/>
      <c r="AD617" s="21"/>
    </row>
    <row r="618" spans="1:30" ht="15.75" customHeight="1">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c r="AA618" s="21"/>
      <c r="AB618" s="21"/>
      <c r="AC618" s="21"/>
      <c r="AD618" s="21"/>
    </row>
    <row r="619" spans="1:30" ht="15.75" customHeight="1">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c r="AA619" s="21"/>
      <c r="AB619" s="21"/>
      <c r="AC619" s="21"/>
      <c r="AD619" s="21"/>
    </row>
    <row r="620" spans="1:30" ht="15.75" customHeight="1">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c r="AA620" s="21"/>
      <c r="AB620" s="21"/>
      <c r="AC620" s="21"/>
      <c r="AD620" s="21"/>
    </row>
    <row r="621" spans="1:30" ht="15.75" customHeight="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c r="AA621" s="21"/>
      <c r="AB621" s="21"/>
      <c r="AC621" s="21"/>
      <c r="AD621" s="21"/>
    </row>
    <row r="622" spans="1:30" ht="15.75" customHeight="1">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c r="AA622" s="21"/>
      <c r="AB622" s="21"/>
      <c r="AC622" s="21"/>
      <c r="AD622" s="21"/>
    </row>
    <row r="623" spans="1:30" ht="15.75" customHeight="1">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c r="AA623" s="21"/>
      <c r="AB623" s="21"/>
      <c r="AC623" s="21"/>
      <c r="AD623" s="21"/>
    </row>
    <row r="624" spans="1:30" ht="15.75" customHeight="1">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c r="AA624" s="21"/>
      <c r="AB624" s="21"/>
      <c r="AC624" s="21"/>
      <c r="AD624" s="21"/>
    </row>
    <row r="625" spans="1:30" ht="15.75" customHeight="1">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c r="AA625" s="21"/>
      <c r="AB625" s="21"/>
      <c r="AC625" s="21"/>
      <c r="AD625" s="21"/>
    </row>
    <row r="626" spans="1:30" ht="15.75" customHeight="1">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c r="AA626" s="21"/>
      <c r="AB626" s="21"/>
      <c r="AC626" s="21"/>
      <c r="AD626" s="21"/>
    </row>
    <row r="627" spans="1:30" ht="15.75" customHeight="1">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c r="AA627" s="21"/>
      <c r="AB627" s="21"/>
      <c r="AC627" s="21"/>
      <c r="AD627" s="21"/>
    </row>
    <row r="628" spans="1:30" ht="15.75" customHeight="1">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c r="AA628" s="21"/>
      <c r="AB628" s="21"/>
      <c r="AC628" s="21"/>
      <c r="AD628" s="21"/>
    </row>
    <row r="629" spans="1:30" ht="15.75" customHeight="1">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c r="AA629" s="21"/>
      <c r="AB629" s="21"/>
      <c r="AC629" s="21"/>
      <c r="AD629" s="21"/>
    </row>
    <row r="630" spans="1:30" ht="15.75" customHeight="1">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c r="AA630" s="21"/>
      <c r="AB630" s="21"/>
      <c r="AC630" s="21"/>
      <c r="AD630" s="21"/>
    </row>
    <row r="631" spans="1:30" ht="15.75" customHeight="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c r="AA631" s="21"/>
      <c r="AB631" s="21"/>
      <c r="AC631" s="21"/>
      <c r="AD631" s="21"/>
    </row>
    <row r="632" spans="1:30" ht="15.75" customHeight="1">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c r="AA632" s="21"/>
      <c r="AB632" s="21"/>
      <c r="AC632" s="21"/>
      <c r="AD632" s="21"/>
    </row>
    <row r="633" spans="1:30" ht="15.75" customHeight="1">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c r="AA633" s="21"/>
      <c r="AB633" s="21"/>
      <c r="AC633" s="21"/>
      <c r="AD633" s="21"/>
    </row>
    <row r="634" spans="1:30" ht="15.75" customHeight="1">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c r="AA634" s="21"/>
      <c r="AB634" s="21"/>
      <c r="AC634" s="21"/>
      <c r="AD634" s="21"/>
    </row>
    <row r="635" spans="1:30" ht="15.75" customHeight="1">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c r="AA635" s="21"/>
      <c r="AB635" s="21"/>
      <c r="AC635" s="21"/>
      <c r="AD635" s="21"/>
    </row>
    <row r="636" spans="1:30" ht="15.75" customHeight="1">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c r="AA636" s="21"/>
      <c r="AB636" s="21"/>
      <c r="AC636" s="21"/>
      <c r="AD636" s="21"/>
    </row>
    <row r="637" spans="1:30" ht="15.75" customHeight="1">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c r="AA637" s="21"/>
      <c r="AB637" s="21"/>
      <c r="AC637" s="21"/>
      <c r="AD637" s="21"/>
    </row>
    <row r="638" spans="1:30" ht="15.75" customHeight="1">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c r="AA638" s="21"/>
      <c r="AB638" s="21"/>
      <c r="AC638" s="21"/>
      <c r="AD638" s="21"/>
    </row>
    <row r="639" spans="1:30" ht="15.75" customHeight="1">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c r="AA639" s="21"/>
      <c r="AB639" s="21"/>
      <c r="AC639" s="21"/>
      <c r="AD639" s="21"/>
    </row>
    <row r="640" spans="1:30" ht="15.75" customHeight="1">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c r="AA640" s="21"/>
      <c r="AB640" s="21"/>
      <c r="AC640" s="21"/>
      <c r="AD640" s="21"/>
    </row>
    <row r="641" spans="1:30" ht="15.75" customHeight="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c r="AA641" s="21"/>
      <c r="AB641" s="21"/>
      <c r="AC641" s="21"/>
      <c r="AD641" s="21"/>
    </row>
    <row r="642" spans="1:30" ht="15.75" customHeight="1">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c r="AA642" s="21"/>
      <c r="AB642" s="21"/>
      <c r="AC642" s="21"/>
      <c r="AD642" s="21"/>
    </row>
    <row r="643" spans="1:30" ht="15.75" customHeight="1">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c r="AA643" s="21"/>
      <c r="AB643" s="21"/>
      <c r="AC643" s="21"/>
      <c r="AD643" s="21"/>
    </row>
    <row r="644" spans="1:30" ht="15.75" customHeight="1">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c r="AA644" s="21"/>
      <c r="AB644" s="21"/>
      <c r="AC644" s="21"/>
      <c r="AD644" s="21"/>
    </row>
    <row r="645" spans="1:30" ht="15.75" customHeight="1">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c r="AA645" s="21"/>
      <c r="AB645" s="21"/>
      <c r="AC645" s="21"/>
      <c r="AD645" s="21"/>
    </row>
    <row r="646" spans="1:30" ht="15.75" customHeight="1">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c r="AA646" s="21"/>
      <c r="AB646" s="21"/>
      <c r="AC646" s="21"/>
      <c r="AD646" s="21"/>
    </row>
    <row r="647" spans="1:30" ht="15.75" customHeight="1">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c r="AA647" s="21"/>
      <c r="AB647" s="21"/>
      <c r="AC647" s="21"/>
      <c r="AD647" s="21"/>
    </row>
    <row r="648" spans="1:30" ht="15.75" customHeight="1">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c r="AA648" s="21"/>
      <c r="AB648" s="21"/>
      <c r="AC648" s="21"/>
      <c r="AD648" s="21"/>
    </row>
    <row r="649" spans="1:30" ht="15.75" customHeight="1">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c r="AA649" s="21"/>
      <c r="AB649" s="21"/>
      <c r="AC649" s="21"/>
      <c r="AD649" s="21"/>
    </row>
    <row r="650" spans="1:30" ht="15.75" customHeight="1">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c r="AA650" s="21"/>
      <c r="AB650" s="21"/>
      <c r="AC650" s="21"/>
      <c r="AD650" s="21"/>
    </row>
    <row r="651" spans="1:30" ht="15.75" customHeight="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c r="AA651" s="21"/>
      <c r="AB651" s="21"/>
      <c r="AC651" s="21"/>
      <c r="AD651" s="21"/>
    </row>
    <row r="652" spans="1:30" ht="15.75" customHeight="1">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c r="AA652" s="21"/>
      <c r="AB652" s="21"/>
      <c r="AC652" s="21"/>
      <c r="AD652" s="21"/>
    </row>
    <row r="653" spans="1:30" ht="15.75" customHeight="1">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c r="AA653" s="21"/>
      <c r="AB653" s="21"/>
      <c r="AC653" s="21"/>
      <c r="AD653" s="21"/>
    </row>
    <row r="654" spans="1:30" ht="15.75" customHeight="1">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c r="AA654" s="21"/>
      <c r="AB654" s="21"/>
      <c r="AC654" s="21"/>
      <c r="AD654" s="21"/>
    </row>
    <row r="655" spans="1:30" ht="15.75" customHeight="1">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c r="AA655" s="21"/>
      <c r="AB655" s="21"/>
      <c r="AC655" s="21"/>
      <c r="AD655" s="21"/>
    </row>
    <row r="656" spans="1:30" ht="15.75" customHeight="1">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c r="AA656" s="21"/>
      <c r="AB656" s="21"/>
      <c r="AC656" s="21"/>
      <c r="AD656" s="21"/>
    </row>
    <row r="657" spans="1:30" ht="15.75" customHeight="1">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c r="AA657" s="21"/>
      <c r="AB657" s="21"/>
      <c r="AC657" s="21"/>
      <c r="AD657" s="21"/>
    </row>
    <row r="658" spans="1:30" ht="15.75" customHeight="1">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c r="AA658" s="21"/>
      <c r="AB658" s="21"/>
      <c r="AC658" s="21"/>
      <c r="AD658" s="21"/>
    </row>
    <row r="659" spans="1:30" ht="15.75" customHeight="1">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c r="AA659" s="21"/>
      <c r="AB659" s="21"/>
      <c r="AC659" s="21"/>
      <c r="AD659" s="21"/>
    </row>
    <row r="660" spans="1:30" ht="15.75" customHeight="1">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c r="AA660" s="21"/>
      <c r="AB660" s="21"/>
      <c r="AC660" s="21"/>
      <c r="AD660" s="21"/>
    </row>
    <row r="661" spans="1:30" ht="15.75" customHeight="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c r="AA661" s="21"/>
      <c r="AB661" s="21"/>
      <c r="AC661" s="21"/>
      <c r="AD661" s="21"/>
    </row>
    <row r="662" spans="1:30" ht="15.75" customHeight="1">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c r="AA662" s="21"/>
      <c r="AB662" s="21"/>
      <c r="AC662" s="21"/>
      <c r="AD662" s="21"/>
    </row>
    <row r="663" spans="1:30" ht="15.75" customHeight="1">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c r="AA663" s="21"/>
      <c r="AB663" s="21"/>
      <c r="AC663" s="21"/>
      <c r="AD663" s="21"/>
    </row>
    <row r="664" spans="1:30" ht="15.75" customHeight="1">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c r="AA664" s="21"/>
      <c r="AB664" s="21"/>
      <c r="AC664" s="21"/>
      <c r="AD664" s="21"/>
    </row>
    <row r="665" spans="1:30" ht="15.75" customHeight="1">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c r="AA665" s="21"/>
      <c r="AB665" s="21"/>
      <c r="AC665" s="21"/>
      <c r="AD665" s="21"/>
    </row>
    <row r="666" spans="1:30" ht="15.75" customHeight="1">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c r="AA666" s="21"/>
      <c r="AB666" s="21"/>
      <c r="AC666" s="21"/>
      <c r="AD666" s="21"/>
    </row>
    <row r="667" spans="1:30" ht="15.75" customHeight="1">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c r="AA667" s="21"/>
      <c r="AB667" s="21"/>
      <c r="AC667" s="21"/>
      <c r="AD667" s="21"/>
    </row>
    <row r="668" spans="1:30" ht="15.75" customHeight="1">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c r="AA668" s="21"/>
      <c r="AB668" s="21"/>
      <c r="AC668" s="21"/>
      <c r="AD668" s="21"/>
    </row>
    <row r="669" spans="1:30" ht="15.75" customHeight="1">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c r="AA669" s="21"/>
      <c r="AB669" s="21"/>
      <c r="AC669" s="21"/>
      <c r="AD669" s="21"/>
    </row>
    <row r="670" spans="1:30" ht="15.75" customHeight="1">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c r="AA670" s="21"/>
      <c r="AB670" s="21"/>
      <c r="AC670" s="21"/>
      <c r="AD670" s="21"/>
    </row>
    <row r="671" spans="1:30" ht="15.75" customHeight="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c r="AA671" s="21"/>
      <c r="AB671" s="21"/>
      <c r="AC671" s="21"/>
      <c r="AD671" s="21"/>
    </row>
    <row r="672" spans="1:30" ht="15.75" customHeight="1">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c r="AA672" s="21"/>
      <c r="AB672" s="21"/>
      <c r="AC672" s="21"/>
      <c r="AD672" s="21"/>
    </row>
    <row r="673" spans="1:30" ht="15.75" customHeight="1">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c r="AA673" s="21"/>
      <c r="AB673" s="21"/>
      <c r="AC673" s="21"/>
      <c r="AD673" s="21"/>
    </row>
    <row r="674" spans="1:30" ht="15.75" customHeight="1">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c r="AA674" s="21"/>
      <c r="AB674" s="21"/>
      <c r="AC674" s="21"/>
      <c r="AD674" s="21"/>
    </row>
    <row r="675" spans="1:30" ht="15.75" customHeight="1">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c r="AA675" s="21"/>
      <c r="AB675" s="21"/>
      <c r="AC675" s="21"/>
      <c r="AD675" s="21"/>
    </row>
    <row r="676" spans="1:30" ht="15.75" customHeight="1">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c r="AA676" s="21"/>
      <c r="AB676" s="21"/>
      <c r="AC676" s="21"/>
      <c r="AD676" s="21"/>
    </row>
    <row r="677" spans="1:30" ht="15.75" customHeight="1">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c r="AA677" s="21"/>
      <c r="AB677" s="21"/>
      <c r="AC677" s="21"/>
      <c r="AD677" s="21"/>
    </row>
    <row r="678" spans="1:30" ht="15.75" customHeight="1">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c r="AA678" s="21"/>
      <c r="AB678" s="21"/>
      <c r="AC678" s="21"/>
      <c r="AD678" s="21"/>
    </row>
    <row r="679" spans="1:30" ht="15.75" customHeight="1">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c r="AA679" s="21"/>
      <c r="AB679" s="21"/>
      <c r="AC679" s="21"/>
      <c r="AD679" s="21"/>
    </row>
    <row r="680" spans="1:30" ht="15.75" customHeight="1">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c r="AA680" s="21"/>
      <c r="AB680" s="21"/>
      <c r="AC680" s="21"/>
      <c r="AD680" s="21"/>
    </row>
    <row r="681" spans="1:30" ht="15.75" customHeight="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c r="AA681" s="21"/>
      <c r="AB681" s="21"/>
      <c r="AC681" s="21"/>
      <c r="AD681" s="21"/>
    </row>
    <row r="682" spans="1:30" ht="15.75" customHeight="1">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c r="AA682" s="21"/>
      <c r="AB682" s="21"/>
      <c r="AC682" s="21"/>
      <c r="AD682" s="21"/>
    </row>
    <row r="683" spans="1:30" ht="15.75" customHeight="1">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c r="AA683" s="21"/>
      <c r="AB683" s="21"/>
      <c r="AC683" s="21"/>
      <c r="AD683" s="21"/>
    </row>
    <row r="684" spans="1:30" ht="15.75" customHeight="1">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c r="AA684" s="21"/>
      <c r="AB684" s="21"/>
      <c r="AC684" s="21"/>
      <c r="AD684" s="21"/>
    </row>
    <row r="685" spans="1:30" ht="15.75" customHeight="1">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c r="AA685" s="21"/>
      <c r="AB685" s="21"/>
      <c r="AC685" s="21"/>
      <c r="AD685" s="21"/>
    </row>
    <row r="686" spans="1:30" ht="15.75" customHeight="1">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c r="AA686" s="21"/>
      <c r="AB686" s="21"/>
      <c r="AC686" s="21"/>
      <c r="AD686" s="21"/>
    </row>
    <row r="687" spans="1:30" ht="15.75" customHeight="1">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c r="AA687" s="21"/>
      <c r="AB687" s="21"/>
      <c r="AC687" s="21"/>
      <c r="AD687" s="21"/>
    </row>
    <row r="688" spans="1:30" ht="15.75" customHeight="1">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c r="AA688" s="21"/>
      <c r="AB688" s="21"/>
      <c r="AC688" s="21"/>
      <c r="AD688" s="21"/>
    </row>
    <row r="689" spans="1:30" ht="15.75" customHeight="1">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c r="AA689" s="21"/>
      <c r="AB689" s="21"/>
      <c r="AC689" s="21"/>
      <c r="AD689" s="21"/>
    </row>
    <row r="690" spans="1:30" ht="15.75" customHeight="1">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c r="AA690" s="21"/>
      <c r="AB690" s="21"/>
      <c r="AC690" s="21"/>
      <c r="AD690" s="21"/>
    </row>
    <row r="691" spans="1:30" ht="15.75" customHeight="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c r="AA691" s="21"/>
      <c r="AB691" s="21"/>
      <c r="AC691" s="21"/>
      <c r="AD691" s="21"/>
    </row>
    <row r="692" spans="1:30" ht="15.75" customHeight="1">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c r="AA692" s="21"/>
      <c r="AB692" s="21"/>
      <c r="AC692" s="21"/>
      <c r="AD692" s="21"/>
    </row>
    <row r="693" spans="1:30" ht="15.75" customHeight="1">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c r="AA693" s="21"/>
      <c r="AB693" s="21"/>
      <c r="AC693" s="21"/>
      <c r="AD693" s="21"/>
    </row>
    <row r="694" spans="1:30" ht="15.75" customHeight="1">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c r="AA694" s="21"/>
      <c r="AB694" s="21"/>
      <c r="AC694" s="21"/>
      <c r="AD694" s="21"/>
    </row>
    <row r="695" spans="1:30" ht="15.75" customHeight="1">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c r="AA695" s="21"/>
      <c r="AB695" s="21"/>
      <c r="AC695" s="21"/>
      <c r="AD695" s="21"/>
    </row>
    <row r="696" spans="1:30" ht="15.75" customHeight="1">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c r="AA696" s="21"/>
      <c r="AB696" s="21"/>
      <c r="AC696" s="21"/>
      <c r="AD696" s="21"/>
    </row>
    <row r="697" spans="1:30" ht="15.75" customHeight="1">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c r="AA697" s="21"/>
      <c r="AB697" s="21"/>
      <c r="AC697" s="21"/>
      <c r="AD697" s="21"/>
    </row>
    <row r="698" spans="1:30" ht="15.75" customHeight="1">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c r="AA698" s="21"/>
      <c r="AB698" s="21"/>
      <c r="AC698" s="21"/>
      <c r="AD698" s="21"/>
    </row>
    <row r="699" spans="1:30" ht="15.75" customHeight="1">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c r="AA699" s="21"/>
      <c r="AB699" s="21"/>
      <c r="AC699" s="21"/>
      <c r="AD699" s="21"/>
    </row>
    <row r="700" spans="1:30" ht="15.75" customHeight="1">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c r="AA700" s="21"/>
      <c r="AB700" s="21"/>
      <c r="AC700" s="21"/>
      <c r="AD700" s="21"/>
    </row>
    <row r="701" spans="1:30" ht="15.75" customHeight="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c r="AA701" s="21"/>
      <c r="AB701" s="21"/>
      <c r="AC701" s="21"/>
      <c r="AD701" s="21"/>
    </row>
    <row r="702" spans="1:30" ht="15.75" customHeight="1">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c r="AA702" s="21"/>
      <c r="AB702" s="21"/>
      <c r="AC702" s="21"/>
      <c r="AD702" s="21"/>
    </row>
    <row r="703" spans="1:30" ht="15.75" customHeight="1">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c r="AA703" s="21"/>
      <c r="AB703" s="21"/>
      <c r="AC703" s="21"/>
      <c r="AD703" s="21"/>
    </row>
    <row r="704" spans="1:30" ht="15.75" customHeight="1">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c r="AA704" s="21"/>
      <c r="AB704" s="21"/>
      <c r="AC704" s="21"/>
      <c r="AD704" s="21"/>
    </row>
    <row r="705" spans="1:30" ht="15.75" customHeight="1">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c r="AA705" s="21"/>
      <c r="AB705" s="21"/>
      <c r="AC705" s="21"/>
      <c r="AD705" s="21"/>
    </row>
    <row r="706" spans="1:30" ht="15.75" customHeight="1">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c r="AA706" s="21"/>
      <c r="AB706" s="21"/>
      <c r="AC706" s="21"/>
      <c r="AD706" s="21"/>
    </row>
    <row r="707" spans="1:30" ht="15.75" customHeight="1">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c r="AA707" s="21"/>
      <c r="AB707" s="21"/>
      <c r="AC707" s="21"/>
      <c r="AD707" s="21"/>
    </row>
    <row r="708" spans="1:30" ht="15.75" customHeight="1">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c r="AA708" s="21"/>
      <c r="AB708" s="21"/>
      <c r="AC708" s="21"/>
      <c r="AD708" s="21"/>
    </row>
    <row r="709" spans="1:30" ht="15.75" customHeight="1">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c r="AA709" s="21"/>
      <c r="AB709" s="21"/>
      <c r="AC709" s="21"/>
      <c r="AD709" s="21"/>
    </row>
    <row r="710" spans="1:30" ht="15.75" customHeight="1">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c r="AA710" s="21"/>
      <c r="AB710" s="21"/>
      <c r="AC710" s="21"/>
      <c r="AD710" s="21"/>
    </row>
    <row r="711" spans="1:30" ht="15.75" customHeight="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c r="AA711" s="21"/>
      <c r="AB711" s="21"/>
      <c r="AC711" s="21"/>
      <c r="AD711" s="21"/>
    </row>
    <row r="712" spans="1:30" ht="15.75" customHeight="1">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c r="AA712" s="21"/>
      <c r="AB712" s="21"/>
      <c r="AC712" s="21"/>
      <c r="AD712" s="21"/>
    </row>
    <row r="713" spans="1:30" ht="15.75" customHeight="1">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c r="AA713" s="21"/>
      <c r="AB713" s="21"/>
      <c r="AC713" s="21"/>
      <c r="AD713" s="21"/>
    </row>
    <row r="714" spans="1:30" ht="15.75" customHeight="1">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c r="AA714" s="21"/>
      <c r="AB714" s="21"/>
      <c r="AC714" s="21"/>
      <c r="AD714" s="21"/>
    </row>
    <row r="715" spans="1:30" ht="15.75" customHeight="1">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c r="AA715" s="21"/>
      <c r="AB715" s="21"/>
      <c r="AC715" s="21"/>
      <c r="AD715" s="21"/>
    </row>
    <row r="716" spans="1:30" ht="15.75" customHeight="1">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c r="AA716" s="21"/>
      <c r="AB716" s="21"/>
      <c r="AC716" s="21"/>
      <c r="AD716" s="21"/>
    </row>
    <row r="717" spans="1:30" ht="15.75" customHeight="1">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c r="AA717" s="21"/>
      <c r="AB717" s="21"/>
      <c r="AC717" s="21"/>
      <c r="AD717" s="21"/>
    </row>
    <row r="718" spans="1:30" ht="15.75" customHeight="1">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c r="AA718" s="21"/>
      <c r="AB718" s="21"/>
      <c r="AC718" s="21"/>
      <c r="AD718" s="21"/>
    </row>
    <row r="719" spans="1:30" ht="15.75" customHeight="1">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c r="AA719" s="21"/>
      <c r="AB719" s="21"/>
      <c r="AC719" s="21"/>
      <c r="AD719" s="21"/>
    </row>
    <row r="720" spans="1:30" ht="15.75" customHeight="1">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c r="AA720" s="21"/>
      <c r="AB720" s="21"/>
      <c r="AC720" s="21"/>
      <c r="AD720" s="21"/>
    </row>
    <row r="721" spans="1:30" ht="15.75" customHeight="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c r="AA721" s="21"/>
      <c r="AB721" s="21"/>
      <c r="AC721" s="21"/>
      <c r="AD721" s="21"/>
    </row>
    <row r="722" spans="1:30" ht="15.75" customHeight="1">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c r="AA722" s="21"/>
      <c r="AB722" s="21"/>
      <c r="AC722" s="21"/>
      <c r="AD722" s="21"/>
    </row>
    <row r="723" spans="1:30" ht="15.75" customHeight="1">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c r="AA723" s="21"/>
      <c r="AB723" s="21"/>
      <c r="AC723" s="21"/>
      <c r="AD723" s="21"/>
    </row>
    <row r="724" spans="1:30" ht="15.75" customHeight="1">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c r="AA724" s="21"/>
      <c r="AB724" s="21"/>
      <c r="AC724" s="21"/>
      <c r="AD724" s="21"/>
    </row>
    <row r="725" spans="1:30" ht="15.75" customHeight="1">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c r="AA725" s="21"/>
      <c r="AB725" s="21"/>
      <c r="AC725" s="21"/>
      <c r="AD725" s="21"/>
    </row>
    <row r="726" spans="1:30" ht="15.75" customHeight="1">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c r="AA726" s="21"/>
      <c r="AB726" s="21"/>
      <c r="AC726" s="21"/>
      <c r="AD726" s="21"/>
    </row>
    <row r="727" spans="1:30" ht="15.75" customHeight="1">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c r="AA727" s="21"/>
      <c r="AB727" s="21"/>
      <c r="AC727" s="21"/>
      <c r="AD727" s="21"/>
    </row>
    <row r="728" spans="1:30" ht="15.75" customHeight="1">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c r="AA728" s="21"/>
      <c r="AB728" s="21"/>
      <c r="AC728" s="21"/>
      <c r="AD728" s="21"/>
    </row>
    <row r="729" spans="1:30" ht="15.75" customHeight="1">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c r="AA729" s="21"/>
      <c r="AB729" s="21"/>
      <c r="AC729" s="21"/>
      <c r="AD729" s="21"/>
    </row>
    <row r="730" spans="1:30" ht="15.75" customHeight="1">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c r="AA730" s="21"/>
      <c r="AB730" s="21"/>
      <c r="AC730" s="21"/>
      <c r="AD730" s="21"/>
    </row>
    <row r="731" spans="1:30" ht="15.75" customHeight="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c r="AA731" s="21"/>
      <c r="AB731" s="21"/>
      <c r="AC731" s="21"/>
      <c r="AD731" s="21"/>
    </row>
    <row r="732" spans="1:30" ht="15.75" customHeight="1">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c r="AA732" s="21"/>
      <c r="AB732" s="21"/>
      <c r="AC732" s="21"/>
      <c r="AD732" s="21"/>
    </row>
    <row r="733" spans="1:30" ht="15.75" customHeight="1">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c r="AA733" s="21"/>
      <c r="AB733" s="21"/>
      <c r="AC733" s="21"/>
      <c r="AD733" s="21"/>
    </row>
    <row r="734" spans="1:30" ht="15.75" customHeight="1">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c r="AA734" s="21"/>
      <c r="AB734" s="21"/>
      <c r="AC734" s="21"/>
      <c r="AD734" s="21"/>
    </row>
    <row r="735" spans="1:30" ht="15.75" customHeight="1">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c r="AA735" s="21"/>
      <c r="AB735" s="21"/>
      <c r="AC735" s="21"/>
      <c r="AD735" s="21"/>
    </row>
    <row r="736" spans="1:30" ht="15.75" customHeight="1">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c r="AA736" s="21"/>
      <c r="AB736" s="21"/>
      <c r="AC736" s="21"/>
      <c r="AD736" s="21"/>
    </row>
    <row r="737" spans="1:30" ht="15.75" customHeight="1">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c r="AA737" s="21"/>
      <c r="AB737" s="21"/>
      <c r="AC737" s="21"/>
      <c r="AD737" s="21"/>
    </row>
    <row r="738" spans="1:30" ht="15.75" customHeight="1">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c r="AA738" s="21"/>
      <c r="AB738" s="21"/>
      <c r="AC738" s="21"/>
      <c r="AD738" s="21"/>
    </row>
    <row r="739" spans="1:30" ht="15.75" customHeight="1">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c r="AA739" s="21"/>
      <c r="AB739" s="21"/>
      <c r="AC739" s="21"/>
      <c r="AD739" s="21"/>
    </row>
    <row r="740" spans="1:30" ht="15.75" customHeight="1">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c r="AA740" s="21"/>
      <c r="AB740" s="21"/>
      <c r="AC740" s="21"/>
      <c r="AD740" s="21"/>
    </row>
    <row r="741" spans="1:30" ht="15.75" customHeight="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c r="AA741" s="21"/>
      <c r="AB741" s="21"/>
      <c r="AC741" s="21"/>
      <c r="AD741" s="21"/>
    </row>
    <row r="742" spans="1:30" ht="15.75" customHeight="1">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c r="AA742" s="21"/>
      <c r="AB742" s="21"/>
      <c r="AC742" s="21"/>
      <c r="AD742" s="21"/>
    </row>
    <row r="743" spans="1:30" ht="15.75" customHeight="1">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c r="AA743" s="21"/>
      <c r="AB743" s="21"/>
      <c r="AC743" s="21"/>
      <c r="AD743" s="21"/>
    </row>
    <row r="744" spans="1:30" ht="15.75" customHeight="1">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c r="AA744" s="21"/>
      <c r="AB744" s="21"/>
      <c r="AC744" s="21"/>
      <c r="AD744" s="21"/>
    </row>
    <row r="745" spans="1:30" ht="15.75" customHeight="1">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c r="AA745" s="21"/>
      <c r="AB745" s="21"/>
      <c r="AC745" s="21"/>
      <c r="AD745" s="21"/>
    </row>
    <row r="746" spans="1:30" ht="15.75" customHeight="1">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c r="AA746" s="21"/>
      <c r="AB746" s="21"/>
      <c r="AC746" s="21"/>
      <c r="AD746" s="21"/>
    </row>
    <row r="747" spans="1:30" ht="15.75" customHeight="1">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c r="AA747" s="21"/>
      <c r="AB747" s="21"/>
      <c r="AC747" s="21"/>
      <c r="AD747" s="21"/>
    </row>
    <row r="748" spans="1:30" ht="15.75" customHeight="1">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c r="AA748" s="21"/>
      <c r="AB748" s="21"/>
      <c r="AC748" s="21"/>
      <c r="AD748" s="21"/>
    </row>
    <row r="749" spans="1:30" ht="15.75" customHeight="1">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c r="AA749" s="21"/>
      <c r="AB749" s="21"/>
      <c r="AC749" s="21"/>
      <c r="AD749" s="21"/>
    </row>
    <row r="750" spans="1:30" ht="15.75" customHeight="1">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c r="AA750" s="21"/>
      <c r="AB750" s="21"/>
      <c r="AC750" s="21"/>
      <c r="AD750" s="21"/>
    </row>
    <row r="751" spans="1:30" ht="15.75" customHeight="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c r="AA751" s="21"/>
      <c r="AB751" s="21"/>
      <c r="AC751" s="21"/>
      <c r="AD751" s="21"/>
    </row>
    <row r="752" spans="1:30" ht="15.75" customHeight="1">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c r="AA752" s="21"/>
      <c r="AB752" s="21"/>
      <c r="AC752" s="21"/>
      <c r="AD752" s="21"/>
    </row>
    <row r="753" spans="1:30" ht="15.75" customHeight="1">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c r="AA753" s="21"/>
      <c r="AB753" s="21"/>
      <c r="AC753" s="21"/>
      <c r="AD753" s="21"/>
    </row>
    <row r="754" spans="1:30" ht="15.75" customHeight="1">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c r="AA754" s="21"/>
      <c r="AB754" s="21"/>
      <c r="AC754" s="21"/>
      <c r="AD754" s="21"/>
    </row>
    <row r="755" spans="1:30" ht="15.75" customHeight="1">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c r="AA755" s="21"/>
      <c r="AB755" s="21"/>
      <c r="AC755" s="21"/>
      <c r="AD755" s="21"/>
    </row>
    <row r="756" spans="1:30" ht="15.75" customHeight="1">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c r="AA756" s="21"/>
      <c r="AB756" s="21"/>
      <c r="AC756" s="21"/>
      <c r="AD756" s="21"/>
    </row>
    <row r="757" spans="1:30" ht="15.75" customHeight="1">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c r="AA757" s="21"/>
      <c r="AB757" s="21"/>
      <c r="AC757" s="21"/>
      <c r="AD757" s="21"/>
    </row>
    <row r="758" spans="1:30" ht="15.75" customHeight="1">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c r="AA758" s="21"/>
      <c r="AB758" s="21"/>
      <c r="AC758" s="21"/>
      <c r="AD758" s="21"/>
    </row>
    <row r="759" spans="1:30" ht="15.75" customHeight="1">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c r="AA759" s="21"/>
      <c r="AB759" s="21"/>
      <c r="AC759" s="21"/>
      <c r="AD759" s="21"/>
    </row>
    <row r="760" spans="1:30" ht="15.75" customHeight="1">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c r="AA760" s="21"/>
      <c r="AB760" s="21"/>
      <c r="AC760" s="21"/>
      <c r="AD760" s="21"/>
    </row>
    <row r="761" spans="1:30" ht="15.75" customHeight="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c r="AA761" s="21"/>
      <c r="AB761" s="21"/>
      <c r="AC761" s="21"/>
      <c r="AD761" s="21"/>
    </row>
    <row r="762" spans="1:30" ht="15.75" customHeight="1">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c r="AA762" s="21"/>
      <c r="AB762" s="21"/>
      <c r="AC762" s="21"/>
      <c r="AD762" s="21"/>
    </row>
    <row r="763" spans="1:30" ht="15.75" customHeight="1">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c r="AA763" s="21"/>
      <c r="AB763" s="21"/>
      <c r="AC763" s="21"/>
      <c r="AD763" s="21"/>
    </row>
    <row r="764" spans="1:30" ht="15.75" customHeight="1">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c r="AA764" s="21"/>
      <c r="AB764" s="21"/>
      <c r="AC764" s="21"/>
      <c r="AD764" s="21"/>
    </row>
    <row r="765" spans="1:30" ht="15.75" customHeight="1">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c r="AA765" s="21"/>
      <c r="AB765" s="21"/>
      <c r="AC765" s="21"/>
      <c r="AD765" s="21"/>
    </row>
    <row r="766" spans="1:30" ht="15.75" customHeight="1">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c r="AA766" s="21"/>
      <c r="AB766" s="21"/>
      <c r="AC766" s="21"/>
      <c r="AD766" s="21"/>
    </row>
    <row r="767" spans="1:30" ht="15.75" customHeight="1">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c r="AA767" s="21"/>
      <c r="AB767" s="21"/>
      <c r="AC767" s="21"/>
      <c r="AD767" s="21"/>
    </row>
    <row r="768" spans="1:30" ht="15.75" customHeight="1">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c r="AA768" s="21"/>
      <c r="AB768" s="21"/>
      <c r="AC768" s="21"/>
      <c r="AD768" s="21"/>
    </row>
    <row r="769" spans="1:30" ht="15.75" customHeight="1">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c r="AA769" s="21"/>
      <c r="AB769" s="21"/>
      <c r="AC769" s="21"/>
      <c r="AD769" s="21"/>
    </row>
    <row r="770" spans="1:30" ht="15.75" customHeight="1">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c r="AA770" s="21"/>
      <c r="AB770" s="21"/>
      <c r="AC770" s="21"/>
      <c r="AD770" s="21"/>
    </row>
    <row r="771" spans="1:30" ht="15.75" customHeight="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c r="AA771" s="21"/>
      <c r="AB771" s="21"/>
      <c r="AC771" s="21"/>
      <c r="AD771" s="21"/>
    </row>
    <row r="772" spans="1:30" ht="15.75" customHeight="1">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c r="AA772" s="21"/>
      <c r="AB772" s="21"/>
      <c r="AC772" s="21"/>
      <c r="AD772" s="21"/>
    </row>
    <row r="773" spans="1:30" ht="15.75" customHeight="1">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c r="AA773" s="21"/>
      <c r="AB773" s="21"/>
      <c r="AC773" s="21"/>
      <c r="AD773" s="21"/>
    </row>
    <row r="774" spans="1:30" ht="15.75" customHeight="1">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c r="AA774" s="21"/>
      <c r="AB774" s="21"/>
      <c r="AC774" s="21"/>
      <c r="AD774" s="21"/>
    </row>
    <row r="775" spans="1:30" ht="15.75" customHeight="1">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c r="AA775" s="21"/>
      <c r="AB775" s="21"/>
      <c r="AC775" s="21"/>
      <c r="AD775" s="21"/>
    </row>
    <row r="776" spans="1:30" ht="15.75" customHeight="1">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c r="AA776" s="21"/>
      <c r="AB776" s="21"/>
      <c r="AC776" s="21"/>
      <c r="AD776" s="21"/>
    </row>
    <row r="777" spans="1:30" ht="15.75" customHeight="1">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c r="AA777" s="21"/>
      <c r="AB777" s="21"/>
      <c r="AC777" s="21"/>
      <c r="AD777" s="21"/>
    </row>
    <row r="778" spans="1:30" ht="15.75" customHeight="1">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c r="AA778" s="21"/>
      <c r="AB778" s="21"/>
      <c r="AC778" s="21"/>
      <c r="AD778" s="21"/>
    </row>
    <row r="779" spans="1:30" ht="15.75" customHeight="1">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c r="AA779" s="21"/>
      <c r="AB779" s="21"/>
      <c r="AC779" s="21"/>
      <c r="AD779" s="21"/>
    </row>
    <row r="780" spans="1:30" ht="15.75" customHeight="1">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c r="AA780" s="21"/>
      <c r="AB780" s="21"/>
      <c r="AC780" s="21"/>
      <c r="AD780" s="21"/>
    </row>
    <row r="781" spans="1:30" ht="15.75" customHeight="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c r="AA781" s="21"/>
      <c r="AB781" s="21"/>
      <c r="AC781" s="21"/>
      <c r="AD781" s="21"/>
    </row>
    <row r="782" spans="1:30" ht="15.75" customHeight="1">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c r="AA782" s="21"/>
      <c r="AB782" s="21"/>
      <c r="AC782" s="21"/>
      <c r="AD782" s="21"/>
    </row>
    <row r="783" spans="1:30" ht="15.75" customHeight="1">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c r="AA783" s="21"/>
      <c r="AB783" s="21"/>
      <c r="AC783" s="21"/>
      <c r="AD783" s="21"/>
    </row>
    <row r="784" spans="1:30" ht="15.75" customHeight="1">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c r="AA784" s="21"/>
      <c r="AB784" s="21"/>
      <c r="AC784" s="21"/>
      <c r="AD784" s="21"/>
    </row>
    <row r="785" spans="1:30" ht="15.75" customHeight="1">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c r="AA785" s="21"/>
      <c r="AB785" s="21"/>
      <c r="AC785" s="21"/>
      <c r="AD785" s="21"/>
    </row>
    <row r="786" spans="1:30" ht="15.75" customHeight="1">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c r="AA786" s="21"/>
      <c r="AB786" s="21"/>
      <c r="AC786" s="21"/>
      <c r="AD786" s="21"/>
    </row>
    <row r="787" spans="1:30" ht="15.75" customHeight="1">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c r="AA787" s="21"/>
      <c r="AB787" s="21"/>
      <c r="AC787" s="21"/>
      <c r="AD787" s="21"/>
    </row>
    <row r="788" spans="1:30" ht="15.75" customHeight="1">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c r="AA788" s="21"/>
      <c r="AB788" s="21"/>
      <c r="AC788" s="21"/>
      <c r="AD788" s="21"/>
    </row>
    <row r="789" spans="1:30" ht="15.75" customHeight="1">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c r="AA789" s="21"/>
      <c r="AB789" s="21"/>
      <c r="AC789" s="21"/>
      <c r="AD789" s="21"/>
    </row>
    <row r="790" spans="1:30" ht="15.75" customHeight="1">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c r="AA790" s="21"/>
      <c r="AB790" s="21"/>
      <c r="AC790" s="21"/>
      <c r="AD790" s="21"/>
    </row>
    <row r="791" spans="1:30" ht="15.75" customHeight="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c r="AA791" s="21"/>
      <c r="AB791" s="21"/>
      <c r="AC791" s="21"/>
      <c r="AD791" s="21"/>
    </row>
    <row r="792" spans="1:30" ht="15.75" customHeight="1">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c r="AA792" s="21"/>
      <c r="AB792" s="21"/>
      <c r="AC792" s="21"/>
      <c r="AD792" s="21"/>
    </row>
    <row r="793" spans="1:30" ht="15.75" customHeight="1">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c r="AA793" s="21"/>
      <c r="AB793" s="21"/>
      <c r="AC793" s="21"/>
      <c r="AD793" s="21"/>
    </row>
    <row r="794" spans="1:30" ht="15.75" customHeight="1">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c r="AA794" s="21"/>
      <c r="AB794" s="21"/>
      <c r="AC794" s="21"/>
      <c r="AD794" s="21"/>
    </row>
    <row r="795" spans="1:30" ht="15.75" customHeight="1">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c r="AA795" s="21"/>
      <c r="AB795" s="21"/>
      <c r="AC795" s="21"/>
      <c r="AD795" s="21"/>
    </row>
    <row r="796" spans="1:30" ht="15.75" customHeight="1">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c r="AA796" s="21"/>
      <c r="AB796" s="21"/>
      <c r="AC796" s="21"/>
      <c r="AD796" s="21"/>
    </row>
    <row r="797" spans="1:30" ht="15.75" customHeight="1">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c r="AA797" s="21"/>
      <c r="AB797" s="21"/>
      <c r="AC797" s="21"/>
      <c r="AD797" s="21"/>
    </row>
    <row r="798" spans="1:30" ht="15.75" customHeight="1">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c r="AA798" s="21"/>
      <c r="AB798" s="21"/>
      <c r="AC798" s="21"/>
      <c r="AD798" s="21"/>
    </row>
    <row r="799" spans="1:30" ht="15.75" customHeight="1">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c r="AA799" s="21"/>
      <c r="AB799" s="21"/>
      <c r="AC799" s="21"/>
      <c r="AD799" s="21"/>
    </row>
    <row r="800" spans="1:30" ht="15.75" customHeight="1">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c r="AA800" s="21"/>
      <c r="AB800" s="21"/>
      <c r="AC800" s="21"/>
      <c r="AD800" s="21"/>
    </row>
    <row r="801" spans="1:30" ht="15.75" customHeight="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c r="AA801" s="21"/>
      <c r="AB801" s="21"/>
      <c r="AC801" s="21"/>
      <c r="AD801" s="21"/>
    </row>
    <row r="802" spans="1:30" ht="15.75" customHeight="1">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c r="AA802" s="21"/>
      <c r="AB802" s="21"/>
      <c r="AC802" s="21"/>
      <c r="AD802" s="21"/>
    </row>
    <row r="803" spans="1:30" ht="15.75" customHeight="1">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c r="AA803" s="21"/>
      <c r="AB803" s="21"/>
      <c r="AC803" s="21"/>
      <c r="AD803" s="21"/>
    </row>
    <row r="804" spans="1:30" ht="15.75" customHeight="1">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c r="AA804" s="21"/>
      <c r="AB804" s="21"/>
      <c r="AC804" s="21"/>
      <c r="AD804" s="21"/>
    </row>
    <row r="805" spans="1:30" ht="15.75" customHeight="1">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c r="AA805" s="21"/>
      <c r="AB805" s="21"/>
      <c r="AC805" s="21"/>
      <c r="AD805" s="21"/>
    </row>
    <row r="806" spans="1:30" ht="15.75" customHeight="1">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c r="AA806" s="21"/>
      <c r="AB806" s="21"/>
      <c r="AC806" s="21"/>
      <c r="AD806" s="21"/>
    </row>
    <row r="807" spans="1:30" ht="15.75" customHeight="1">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c r="AA807" s="21"/>
      <c r="AB807" s="21"/>
      <c r="AC807" s="21"/>
      <c r="AD807" s="21"/>
    </row>
    <row r="808" spans="1:30" ht="15.75" customHeight="1">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c r="AA808" s="21"/>
      <c r="AB808" s="21"/>
      <c r="AC808" s="21"/>
      <c r="AD808" s="21"/>
    </row>
    <row r="809" spans="1:30" ht="15.75" customHeight="1">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c r="AA809" s="21"/>
      <c r="AB809" s="21"/>
      <c r="AC809" s="21"/>
      <c r="AD809" s="21"/>
    </row>
    <row r="810" spans="1:30" ht="15.75" customHeight="1">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c r="AA810" s="21"/>
      <c r="AB810" s="21"/>
      <c r="AC810" s="21"/>
      <c r="AD810" s="21"/>
    </row>
    <row r="811" spans="1:30" ht="15.75" customHeight="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c r="AA811" s="21"/>
      <c r="AB811" s="21"/>
      <c r="AC811" s="21"/>
      <c r="AD811" s="21"/>
    </row>
    <row r="812" spans="1:30" ht="15.75" customHeight="1">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c r="AA812" s="21"/>
      <c r="AB812" s="21"/>
      <c r="AC812" s="21"/>
      <c r="AD812" s="21"/>
    </row>
    <row r="813" spans="1:30" ht="15.75" customHeight="1">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c r="AA813" s="21"/>
      <c r="AB813" s="21"/>
      <c r="AC813" s="21"/>
      <c r="AD813" s="21"/>
    </row>
    <row r="814" spans="1:30" ht="15.75" customHeight="1">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c r="AA814" s="21"/>
      <c r="AB814" s="21"/>
      <c r="AC814" s="21"/>
      <c r="AD814" s="21"/>
    </row>
    <row r="815" spans="1:30" ht="15.75" customHeight="1">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c r="AA815" s="21"/>
      <c r="AB815" s="21"/>
      <c r="AC815" s="21"/>
      <c r="AD815" s="21"/>
    </row>
    <row r="816" spans="1:30" ht="15.75" customHeight="1">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c r="AA816" s="21"/>
      <c r="AB816" s="21"/>
      <c r="AC816" s="21"/>
      <c r="AD816" s="21"/>
    </row>
    <row r="817" spans="1:30" ht="15.75" customHeight="1">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c r="AA817" s="21"/>
      <c r="AB817" s="21"/>
      <c r="AC817" s="21"/>
      <c r="AD817" s="21"/>
    </row>
    <row r="818" spans="1:30" ht="15.75" customHeight="1">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c r="AA818" s="21"/>
      <c r="AB818" s="21"/>
      <c r="AC818" s="21"/>
      <c r="AD818" s="21"/>
    </row>
    <row r="819" spans="1:30" ht="15.75" customHeight="1">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c r="AA819" s="21"/>
      <c r="AB819" s="21"/>
      <c r="AC819" s="21"/>
      <c r="AD819" s="21"/>
    </row>
    <row r="820" spans="1:30" ht="15.75" customHeight="1">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c r="AA820" s="21"/>
      <c r="AB820" s="21"/>
      <c r="AC820" s="21"/>
      <c r="AD820" s="21"/>
    </row>
    <row r="821" spans="1:30" ht="15.75" customHeight="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c r="AA821" s="21"/>
      <c r="AB821" s="21"/>
      <c r="AC821" s="21"/>
      <c r="AD821" s="21"/>
    </row>
    <row r="822" spans="1:30" ht="15.75" customHeight="1">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c r="AA822" s="21"/>
      <c r="AB822" s="21"/>
      <c r="AC822" s="21"/>
      <c r="AD822" s="21"/>
    </row>
    <row r="823" spans="1:30" ht="15.75" customHeight="1">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c r="AA823" s="21"/>
      <c r="AB823" s="21"/>
      <c r="AC823" s="21"/>
      <c r="AD823" s="21"/>
    </row>
    <row r="824" spans="1:30" ht="15.75" customHeight="1">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c r="AA824" s="21"/>
      <c r="AB824" s="21"/>
      <c r="AC824" s="21"/>
      <c r="AD824" s="21"/>
    </row>
    <row r="825" spans="1:30" ht="15.75" customHeight="1">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c r="AA825" s="21"/>
      <c r="AB825" s="21"/>
      <c r="AC825" s="21"/>
      <c r="AD825" s="21"/>
    </row>
    <row r="826" spans="1:30" ht="15.75" customHeight="1">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c r="AA826" s="21"/>
      <c r="AB826" s="21"/>
      <c r="AC826" s="21"/>
      <c r="AD826" s="21"/>
    </row>
    <row r="827" spans="1:30" ht="15.75" customHeight="1">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c r="AA827" s="21"/>
      <c r="AB827" s="21"/>
      <c r="AC827" s="21"/>
      <c r="AD827" s="21"/>
    </row>
    <row r="828" spans="1:30" ht="15.75" customHeight="1">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c r="AA828" s="21"/>
      <c r="AB828" s="21"/>
      <c r="AC828" s="21"/>
      <c r="AD828" s="21"/>
    </row>
    <row r="829" spans="1:30" ht="15.75" customHeight="1">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c r="AA829" s="21"/>
      <c r="AB829" s="21"/>
      <c r="AC829" s="21"/>
      <c r="AD829" s="21"/>
    </row>
    <row r="830" spans="1:30" ht="15.75" customHeight="1">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c r="AA830" s="21"/>
      <c r="AB830" s="21"/>
      <c r="AC830" s="21"/>
      <c r="AD830" s="21"/>
    </row>
    <row r="831" spans="1:30" ht="15.75" customHeight="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c r="AA831" s="21"/>
      <c r="AB831" s="21"/>
      <c r="AC831" s="21"/>
      <c r="AD831" s="21"/>
    </row>
    <row r="832" spans="1:30" ht="15.75" customHeight="1">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c r="AA832" s="21"/>
      <c r="AB832" s="21"/>
      <c r="AC832" s="21"/>
      <c r="AD832" s="21"/>
    </row>
    <row r="833" spans="1:30" ht="15.75" customHeight="1">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c r="AA833" s="21"/>
      <c r="AB833" s="21"/>
      <c r="AC833" s="21"/>
      <c r="AD833" s="21"/>
    </row>
    <row r="834" spans="1:30" ht="15.75" customHeight="1">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c r="AA834" s="21"/>
      <c r="AB834" s="21"/>
      <c r="AC834" s="21"/>
      <c r="AD834" s="21"/>
    </row>
    <row r="835" spans="1:30" ht="15.75" customHeight="1">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c r="AA835" s="21"/>
      <c r="AB835" s="21"/>
      <c r="AC835" s="21"/>
      <c r="AD835" s="21"/>
    </row>
    <row r="836" spans="1:30" ht="15.75" customHeight="1">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c r="AA836" s="21"/>
      <c r="AB836" s="21"/>
      <c r="AC836" s="21"/>
      <c r="AD836" s="21"/>
    </row>
    <row r="837" spans="1:30" ht="15.75" customHeight="1">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c r="AA837" s="21"/>
      <c r="AB837" s="21"/>
      <c r="AC837" s="21"/>
      <c r="AD837" s="21"/>
    </row>
    <row r="838" spans="1:30" ht="15.75" customHeight="1">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c r="AA838" s="21"/>
      <c r="AB838" s="21"/>
      <c r="AC838" s="21"/>
      <c r="AD838" s="21"/>
    </row>
    <row r="839" spans="1:30" ht="15.75" customHeight="1">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c r="AA839" s="21"/>
      <c r="AB839" s="21"/>
      <c r="AC839" s="21"/>
      <c r="AD839" s="21"/>
    </row>
    <row r="840" spans="1:30" ht="15.75" customHeight="1">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c r="AA840" s="21"/>
      <c r="AB840" s="21"/>
      <c r="AC840" s="21"/>
      <c r="AD840" s="21"/>
    </row>
    <row r="841" spans="1:30" ht="15.75" customHeight="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c r="AA841" s="21"/>
      <c r="AB841" s="21"/>
      <c r="AC841" s="21"/>
      <c r="AD841" s="21"/>
    </row>
    <row r="842" spans="1:30" ht="15.75" customHeight="1">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c r="AA842" s="21"/>
      <c r="AB842" s="21"/>
      <c r="AC842" s="21"/>
      <c r="AD842" s="21"/>
    </row>
    <row r="843" spans="1:30" ht="15.75" customHeight="1">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c r="AA843" s="21"/>
      <c r="AB843" s="21"/>
      <c r="AC843" s="21"/>
      <c r="AD843" s="21"/>
    </row>
    <row r="844" spans="1:30" ht="15.75" customHeight="1">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c r="AA844" s="21"/>
      <c r="AB844" s="21"/>
      <c r="AC844" s="21"/>
      <c r="AD844" s="21"/>
    </row>
    <row r="845" spans="1:30" ht="15.75" customHeight="1">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c r="AA845" s="21"/>
      <c r="AB845" s="21"/>
      <c r="AC845" s="21"/>
      <c r="AD845" s="21"/>
    </row>
    <row r="846" spans="1:30" ht="15.75" customHeight="1">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c r="AA846" s="21"/>
      <c r="AB846" s="21"/>
      <c r="AC846" s="21"/>
      <c r="AD846" s="21"/>
    </row>
    <row r="847" spans="1:30" ht="15.75" customHeight="1">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c r="AA847" s="21"/>
      <c r="AB847" s="21"/>
      <c r="AC847" s="21"/>
      <c r="AD847" s="21"/>
    </row>
    <row r="848" spans="1:30" ht="15.75" customHeight="1">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c r="AA848" s="21"/>
      <c r="AB848" s="21"/>
      <c r="AC848" s="21"/>
      <c r="AD848" s="21"/>
    </row>
    <row r="849" spans="1:30" ht="15.75" customHeight="1">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c r="AA849" s="21"/>
      <c r="AB849" s="21"/>
      <c r="AC849" s="21"/>
      <c r="AD849" s="21"/>
    </row>
    <row r="850" spans="1:30" ht="15.75" customHeight="1">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c r="AA850" s="21"/>
      <c r="AB850" s="21"/>
      <c r="AC850" s="21"/>
      <c r="AD850" s="21"/>
    </row>
    <row r="851" spans="1:30" ht="15.75" customHeight="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c r="AA851" s="21"/>
      <c r="AB851" s="21"/>
      <c r="AC851" s="21"/>
      <c r="AD851" s="21"/>
    </row>
    <row r="852" spans="1:30" ht="15.75" customHeight="1">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c r="AA852" s="21"/>
      <c r="AB852" s="21"/>
      <c r="AC852" s="21"/>
      <c r="AD852" s="21"/>
    </row>
    <row r="853" spans="1:30" ht="15.75" customHeight="1">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c r="AA853" s="21"/>
      <c r="AB853" s="21"/>
      <c r="AC853" s="21"/>
      <c r="AD853" s="21"/>
    </row>
    <row r="854" spans="1:30" ht="15.75" customHeight="1">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c r="AA854" s="21"/>
      <c r="AB854" s="21"/>
      <c r="AC854" s="21"/>
      <c r="AD854" s="21"/>
    </row>
    <row r="855" spans="1:30" ht="15.75" customHeight="1">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c r="AA855" s="21"/>
      <c r="AB855" s="21"/>
      <c r="AC855" s="21"/>
      <c r="AD855" s="21"/>
    </row>
    <row r="856" spans="1:30" ht="15.75" customHeight="1">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c r="AA856" s="21"/>
      <c r="AB856" s="21"/>
      <c r="AC856" s="21"/>
      <c r="AD856" s="21"/>
    </row>
    <row r="857" spans="1:30" ht="15.75" customHeight="1">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c r="AA857" s="21"/>
      <c r="AB857" s="21"/>
      <c r="AC857" s="21"/>
      <c r="AD857" s="21"/>
    </row>
    <row r="858" spans="1:30" ht="15.75" customHeight="1">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c r="AA858" s="21"/>
      <c r="AB858" s="21"/>
      <c r="AC858" s="21"/>
      <c r="AD858" s="21"/>
    </row>
    <row r="859" spans="1:30" ht="15.75" customHeight="1">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c r="AA859" s="21"/>
      <c r="AB859" s="21"/>
      <c r="AC859" s="21"/>
      <c r="AD859" s="21"/>
    </row>
    <row r="860" spans="1:30" ht="15.75" customHeight="1">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c r="AA860" s="21"/>
      <c r="AB860" s="21"/>
      <c r="AC860" s="21"/>
      <c r="AD860" s="21"/>
    </row>
    <row r="861" spans="1:30" ht="15.75" customHeight="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c r="AA861" s="21"/>
      <c r="AB861" s="21"/>
      <c r="AC861" s="21"/>
      <c r="AD861" s="21"/>
    </row>
    <row r="862" spans="1:30" ht="15.75" customHeight="1">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c r="AA862" s="21"/>
      <c r="AB862" s="21"/>
      <c r="AC862" s="21"/>
      <c r="AD862" s="21"/>
    </row>
    <row r="863" spans="1:30" ht="15.75" customHeight="1">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c r="AA863" s="21"/>
      <c r="AB863" s="21"/>
      <c r="AC863" s="21"/>
      <c r="AD863" s="21"/>
    </row>
    <row r="864" spans="1:30" ht="15.75" customHeight="1">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c r="AA864" s="21"/>
      <c r="AB864" s="21"/>
      <c r="AC864" s="21"/>
      <c r="AD864" s="21"/>
    </row>
    <row r="865" spans="1:30" ht="15.75" customHeight="1">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c r="AA865" s="21"/>
      <c r="AB865" s="21"/>
      <c r="AC865" s="21"/>
      <c r="AD865" s="21"/>
    </row>
    <row r="866" spans="1:30" ht="15.75" customHeight="1">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c r="AA866" s="21"/>
      <c r="AB866" s="21"/>
      <c r="AC866" s="21"/>
      <c r="AD866" s="21"/>
    </row>
    <row r="867" spans="1:30" ht="15.75" customHeight="1">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c r="AA867" s="21"/>
      <c r="AB867" s="21"/>
      <c r="AC867" s="21"/>
      <c r="AD867" s="21"/>
    </row>
    <row r="868" spans="1:30" ht="15.75" customHeight="1">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c r="AA868" s="21"/>
      <c r="AB868" s="21"/>
      <c r="AC868" s="21"/>
      <c r="AD868" s="21"/>
    </row>
    <row r="869" spans="1:30" ht="15.75" customHeight="1">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c r="AA869" s="21"/>
      <c r="AB869" s="21"/>
      <c r="AC869" s="21"/>
      <c r="AD869" s="21"/>
    </row>
    <row r="870" spans="1:30" ht="15.75" customHeight="1">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c r="AA870" s="21"/>
      <c r="AB870" s="21"/>
      <c r="AC870" s="21"/>
      <c r="AD870" s="21"/>
    </row>
    <row r="871" spans="1:30" ht="15.75" customHeight="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c r="AA871" s="21"/>
      <c r="AB871" s="21"/>
      <c r="AC871" s="21"/>
      <c r="AD871" s="21"/>
    </row>
    <row r="872" spans="1:30" ht="15.75" customHeight="1">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c r="AA872" s="21"/>
      <c r="AB872" s="21"/>
      <c r="AC872" s="21"/>
      <c r="AD872" s="21"/>
    </row>
    <row r="873" spans="1:30" ht="15.75" customHeight="1">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c r="AA873" s="21"/>
      <c r="AB873" s="21"/>
      <c r="AC873" s="21"/>
      <c r="AD873" s="21"/>
    </row>
    <row r="874" spans="1:30" ht="15.75" customHeight="1">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c r="AA874" s="21"/>
      <c r="AB874" s="21"/>
      <c r="AC874" s="21"/>
      <c r="AD874" s="21"/>
    </row>
    <row r="875" spans="1:30" ht="15.75" customHeight="1">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c r="AA875" s="21"/>
      <c r="AB875" s="21"/>
      <c r="AC875" s="21"/>
      <c r="AD875" s="21"/>
    </row>
    <row r="876" spans="1:30" ht="15.75" customHeight="1">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c r="AA876" s="21"/>
      <c r="AB876" s="21"/>
      <c r="AC876" s="21"/>
      <c r="AD876" s="21"/>
    </row>
    <row r="877" spans="1:30" ht="15.75" customHeight="1">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c r="AA877" s="21"/>
      <c r="AB877" s="21"/>
      <c r="AC877" s="21"/>
      <c r="AD877" s="21"/>
    </row>
    <row r="878" spans="1:30" ht="15.75" customHeight="1">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c r="AA878" s="21"/>
      <c r="AB878" s="21"/>
      <c r="AC878" s="21"/>
      <c r="AD878" s="21"/>
    </row>
    <row r="879" spans="1:30" ht="15.75" customHeight="1">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c r="AA879" s="21"/>
      <c r="AB879" s="21"/>
      <c r="AC879" s="21"/>
      <c r="AD879" s="21"/>
    </row>
    <row r="880" spans="1:30" ht="15.75" customHeight="1">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c r="AA880" s="21"/>
      <c r="AB880" s="21"/>
      <c r="AC880" s="21"/>
      <c r="AD880" s="21"/>
    </row>
    <row r="881" spans="1:30" ht="15.75" customHeight="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c r="AA881" s="21"/>
      <c r="AB881" s="21"/>
      <c r="AC881" s="21"/>
      <c r="AD881" s="21"/>
    </row>
    <row r="882" spans="1:30" ht="15.75" customHeight="1">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c r="AA882" s="21"/>
      <c r="AB882" s="21"/>
      <c r="AC882" s="21"/>
      <c r="AD882" s="21"/>
    </row>
    <row r="883" spans="1:30" ht="15.75" customHeight="1">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c r="AA883" s="21"/>
      <c r="AB883" s="21"/>
      <c r="AC883" s="21"/>
      <c r="AD883" s="21"/>
    </row>
    <row r="884" spans="1:30" ht="15.75" customHeight="1">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c r="AA884" s="21"/>
      <c r="AB884" s="21"/>
      <c r="AC884" s="21"/>
      <c r="AD884" s="21"/>
    </row>
    <row r="885" spans="1:30" ht="15.75" customHeight="1">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c r="AA885" s="21"/>
      <c r="AB885" s="21"/>
      <c r="AC885" s="21"/>
      <c r="AD885" s="21"/>
    </row>
    <row r="886" spans="1:30" ht="15.75" customHeight="1">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c r="AA886" s="21"/>
      <c r="AB886" s="21"/>
      <c r="AC886" s="21"/>
      <c r="AD886" s="21"/>
    </row>
    <row r="887" spans="1:30" ht="15.75" customHeight="1">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c r="AA887" s="21"/>
      <c r="AB887" s="21"/>
      <c r="AC887" s="21"/>
      <c r="AD887" s="21"/>
    </row>
    <row r="888" spans="1:30" ht="15.75" customHeight="1">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c r="AA888" s="21"/>
      <c r="AB888" s="21"/>
      <c r="AC888" s="21"/>
      <c r="AD888" s="21"/>
    </row>
    <row r="889" spans="1:30" ht="15.75" customHeight="1">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c r="AA889" s="21"/>
      <c r="AB889" s="21"/>
      <c r="AC889" s="21"/>
      <c r="AD889" s="21"/>
    </row>
    <row r="890" spans="1:30" ht="15.75" customHeight="1">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c r="AA890" s="21"/>
      <c r="AB890" s="21"/>
      <c r="AC890" s="21"/>
      <c r="AD890" s="21"/>
    </row>
    <row r="891" spans="1:30" ht="15.75" customHeight="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c r="AA891" s="21"/>
      <c r="AB891" s="21"/>
      <c r="AC891" s="21"/>
      <c r="AD891" s="21"/>
    </row>
    <row r="892" spans="1:30" ht="15.75" customHeight="1">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c r="AA892" s="21"/>
      <c r="AB892" s="21"/>
      <c r="AC892" s="21"/>
      <c r="AD892" s="21"/>
    </row>
    <row r="893" spans="1:30" ht="15.75" customHeight="1">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c r="AA893" s="21"/>
      <c r="AB893" s="21"/>
      <c r="AC893" s="21"/>
      <c r="AD893" s="21"/>
    </row>
    <row r="894" spans="1:30" ht="15.75" customHeight="1">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c r="AA894" s="21"/>
      <c r="AB894" s="21"/>
      <c r="AC894" s="21"/>
      <c r="AD894" s="21"/>
    </row>
    <row r="895" spans="1:30" ht="15.75" customHeight="1">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c r="AA895" s="21"/>
      <c r="AB895" s="21"/>
      <c r="AC895" s="21"/>
      <c r="AD895" s="21"/>
    </row>
    <row r="896" spans="1:30" ht="15.75" customHeight="1">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c r="AA896" s="21"/>
      <c r="AB896" s="21"/>
      <c r="AC896" s="21"/>
      <c r="AD896" s="21"/>
    </row>
    <row r="897" spans="1:30" ht="15.75" customHeight="1">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c r="AA897" s="21"/>
      <c r="AB897" s="21"/>
      <c r="AC897" s="21"/>
      <c r="AD897" s="21"/>
    </row>
    <row r="898" spans="1:30" ht="15.75" customHeight="1">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c r="AA898" s="21"/>
      <c r="AB898" s="21"/>
      <c r="AC898" s="21"/>
      <c r="AD898" s="21"/>
    </row>
    <row r="899" spans="1:30" ht="15.75" customHeight="1">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c r="AA899" s="21"/>
      <c r="AB899" s="21"/>
      <c r="AC899" s="21"/>
      <c r="AD899" s="21"/>
    </row>
    <row r="900" spans="1:30" ht="15.75" customHeight="1">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c r="AA900" s="21"/>
      <c r="AB900" s="21"/>
      <c r="AC900" s="21"/>
      <c r="AD900" s="21"/>
    </row>
    <row r="901" spans="1:30" ht="15.75" customHeight="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c r="AA901" s="21"/>
      <c r="AB901" s="21"/>
      <c r="AC901" s="21"/>
      <c r="AD901" s="21"/>
    </row>
    <row r="902" spans="1:30" ht="15.75" customHeight="1">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c r="AA902" s="21"/>
      <c r="AB902" s="21"/>
      <c r="AC902" s="21"/>
      <c r="AD902" s="21"/>
    </row>
    <row r="903" spans="1:30" ht="15.75" customHeight="1">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c r="AA903" s="21"/>
      <c r="AB903" s="21"/>
      <c r="AC903" s="21"/>
      <c r="AD903" s="21"/>
    </row>
    <row r="904" spans="1:30" ht="15.75" customHeight="1">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c r="AA904" s="21"/>
      <c r="AB904" s="21"/>
      <c r="AC904" s="21"/>
      <c r="AD904" s="21"/>
    </row>
    <row r="905" spans="1:30" ht="15.75" customHeight="1">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c r="AA905" s="21"/>
      <c r="AB905" s="21"/>
      <c r="AC905" s="21"/>
      <c r="AD905" s="21"/>
    </row>
    <row r="906" spans="1:30" ht="15.75" customHeight="1">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c r="AA906" s="21"/>
      <c r="AB906" s="21"/>
      <c r="AC906" s="21"/>
      <c r="AD906" s="21"/>
    </row>
    <row r="907" spans="1:30" ht="15.75" customHeight="1">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c r="AA907" s="21"/>
      <c r="AB907" s="21"/>
      <c r="AC907" s="21"/>
      <c r="AD907" s="21"/>
    </row>
    <row r="908" spans="1:30" ht="15.75" customHeight="1">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c r="AA908" s="21"/>
      <c r="AB908" s="21"/>
      <c r="AC908" s="21"/>
      <c r="AD908" s="21"/>
    </row>
    <row r="909" spans="1:30" ht="15.75" customHeight="1">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c r="AA909" s="21"/>
      <c r="AB909" s="21"/>
      <c r="AC909" s="21"/>
      <c r="AD909" s="21"/>
    </row>
    <row r="910" spans="1:30" ht="15.75" customHeight="1">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c r="AA910" s="21"/>
      <c r="AB910" s="21"/>
      <c r="AC910" s="21"/>
      <c r="AD910" s="21"/>
    </row>
    <row r="911" spans="1:30" ht="15.75" customHeight="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c r="AA911" s="21"/>
      <c r="AB911" s="21"/>
      <c r="AC911" s="21"/>
      <c r="AD911" s="21"/>
    </row>
    <row r="912" spans="1:30" ht="15.75" customHeight="1">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c r="AA912" s="21"/>
      <c r="AB912" s="21"/>
      <c r="AC912" s="21"/>
      <c r="AD912" s="21"/>
    </row>
    <row r="913" spans="1:30" ht="15.75" customHeight="1">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c r="AA913" s="21"/>
      <c r="AB913" s="21"/>
      <c r="AC913" s="21"/>
      <c r="AD913" s="21"/>
    </row>
    <row r="914" spans="1:30" ht="15.75" customHeight="1">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c r="AA914" s="21"/>
      <c r="AB914" s="21"/>
      <c r="AC914" s="21"/>
      <c r="AD914" s="21"/>
    </row>
    <row r="915" spans="1:30" ht="15.75" customHeight="1">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c r="AA915" s="21"/>
      <c r="AB915" s="21"/>
      <c r="AC915" s="21"/>
      <c r="AD915" s="21"/>
    </row>
    <row r="916" spans="1:30" ht="15.75" customHeight="1">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c r="AA916" s="21"/>
      <c r="AB916" s="21"/>
      <c r="AC916" s="21"/>
      <c r="AD916" s="21"/>
    </row>
    <row r="917" spans="1:30" ht="15.75" customHeight="1">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c r="AA917" s="21"/>
      <c r="AB917" s="21"/>
      <c r="AC917" s="21"/>
      <c r="AD917" s="21"/>
    </row>
    <row r="918" spans="1:30" ht="15.75" customHeight="1">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c r="AA918" s="21"/>
      <c r="AB918" s="21"/>
      <c r="AC918" s="21"/>
      <c r="AD918" s="21"/>
    </row>
    <row r="919" spans="1:30" ht="15.75" customHeight="1">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c r="AA919" s="21"/>
      <c r="AB919" s="21"/>
      <c r="AC919" s="21"/>
      <c r="AD919" s="21"/>
    </row>
    <row r="920" spans="1:30" ht="15.75" customHeight="1">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c r="AA920" s="21"/>
      <c r="AB920" s="21"/>
      <c r="AC920" s="21"/>
      <c r="AD920" s="21"/>
    </row>
    <row r="921" spans="1:30" ht="15.75" customHeight="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c r="AA921" s="21"/>
      <c r="AB921" s="21"/>
      <c r="AC921" s="21"/>
      <c r="AD921" s="21"/>
    </row>
    <row r="922" spans="1:30" ht="15.75" customHeight="1">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c r="AA922" s="21"/>
      <c r="AB922" s="21"/>
      <c r="AC922" s="21"/>
      <c r="AD922" s="21"/>
    </row>
    <row r="923" spans="1:30" ht="15.75" customHeight="1">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c r="AA923" s="21"/>
      <c r="AB923" s="21"/>
      <c r="AC923" s="21"/>
      <c r="AD923" s="21"/>
    </row>
    <row r="924" spans="1:30" ht="15.75" customHeight="1">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c r="AA924" s="21"/>
      <c r="AB924" s="21"/>
      <c r="AC924" s="21"/>
      <c r="AD924" s="21"/>
    </row>
    <row r="925" spans="1:30" ht="15.75" customHeight="1">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c r="AA925" s="21"/>
      <c r="AB925" s="21"/>
      <c r="AC925" s="21"/>
      <c r="AD925" s="21"/>
    </row>
    <row r="926" spans="1:30" ht="15.75" customHeight="1">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c r="AA926" s="21"/>
      <c r="AB926" s="21"/>
      <c r="AC926" s="21"/>
      <c r="AD926" s="21"/>
    </row>
    <row r="927" spans="1:30" ht="15.75" customHeight="1">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c r="AA927" s="21"/>
      <c r="AB927" s="21"/>
      <c r="AC927" s="21"/>
      <c r="AD927" s="21"/>
    </row>
    <row r="928" spans="1:30" ht="15.75" customHeight="1">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c r="AA928" s="21"/>
      <c r="AB928" s="21"/>
      <c r="AC928" s="21"/>
      <c r="AD928" s="21"/>
    </row>
    <row r="929" spans="1:30" ht="15.75" customHeight="1">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c r="AA929" s="21"/>
      <c r="AB929" s="21"/>
      <c r="AC929" s="21"/>
      <c r="AD929" s="21"/>
    </row>
    <row r="930" spans="1:30" ht="15.75" customHeight="1">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c r="AA930" s="21"/>
      <c r="AB930" s="21"/>
      <c r="AC930" s="21"/>
      <c r="AD930" s="21"/>
    </row>
    <row r="931" spans="1:30" ht="15.75" customHeight="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c r="AA931" s="21"/>
      <c r="AB931" s="21"/>
      <c r="AC931" s="21"/>
      <c r="AD931" s="21"/>
    </row>
    <row r="932" spans="1:30" ht="15.75" customHeight="1">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c r="AA932" s="21"/>
      <c r="AB932" s="21"/>
      <c r="AC932" s="21"/>
      <c r="AD932" s="21"/>
    </row>
    <row r="933" spans="1:30" ht="15.75" customHeight="1">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c r="AA933" s="21"/>
      <c r="AB933" s="21"/>
      <c r="AC933" s="21"/>
      <c r="AD933" s="21"/>
    </row>
    <row r="934" spans="1:30" ht="15.75" customHeight="1">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c r="AA934" s="21"/>
      <c r="AB934" s="21"/>
      <c r="AC934" s="21"/>
      <c r="AD934" s="21"/>
    </row>
    <row r="935" spans="1:30" ht="15.75" customHeight="1">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c r="AA935" s="21"/>
      <c r="AB935" s="21"/>
      <c r="AC935" s="21"/>
      <c r="AD935" s="21"/>
    </row>
    <row r="936" spans="1:30" ht="15.75" customHeight="1">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c r="AA936" s="21"/>
      <c r="AB936" s="21"/>
      <c r="AC936" s="21"/>
      <c r="AD936" s="21"/>
    </row>
    <row r="937" spans="1:30" ht="15.75" customHeight="1">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c r="AA937" s="21"/>
      <c r="AB937" s="21"/>
      <c r="AC937" s="21"/>
      <c r="AD937" s="21"/>
    </row>
    <row r="938" spans="1:30" ht="15.75" customHeight="1">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c r="AA938" s="21"/>
      <c r="AB938" s="21"/>
      <c r="AC938" s="21"/>
      <c r="AD938" s="21"/>
    </row>
    <row r="939" spans="1:30" ht="15.75" customHeight="1">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c r="AA939" s="21"/>
      <c r="AB939" s="21"/>
      <c r="AC939" s="21"/>
      <c r="AD939" s="21"/>
    </row>
    <row r="940" spans="1:30" ht="15.75" customHeight="1">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c r="AA940" s="21"/>
      <c r="AB940" s="21"/>
      <c r="AC940" s="21"/>
      <c r="AD940" s="21"/>
    </row>
    <row r="941" spans="1:30" ht="15.75" customHeight="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c r="AA941" s="21"/>
      <c r="AB941" s="21"/>
      <c r="AC941" s="21"/>
      <c r="AD941" s="21"/>
    </row>
    <row r="942" spans="1:30" ht="15.75" customHeight="1">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c r="AA942" s="21"/>
      <c r="AB942" s="21"/>
      <c r="AC942" s="21"/>
      <c r="AD942" s="21"/>
    </row>
    <row r="943" spans="1:30" ht="15.75" customHeight="1">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c r="AA943" s="21"/>
      <c r="AB943" s="21"/>
      <c r="AC943" s="21"/>
      <c r="AD943" s="21"/>
    </row>
    <row r="944" spans="1:30" ht="15.75" customHeight="1">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c r="AA944" s="21"/>
      <c r="AB944" s="21"/>
      <c r="AC944" s="21"/>
      <c r="AD944" s="21"/>
    </row>
    <row r="945" spans="1:30" ht="15.75" customHeight="1">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c r="AA945" s="21"/>
      <c r="AB945" s="21"/>
      <c r="AC945" s="21"/>
      <c r="AD945" s="21"/>
    </row>
    <row r="946" spans="1:30" ht="15.75" customHeight="1">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c r="AA946" s="21"/>
      <c r="AB946" s="21"/>
      <c r="AC946" s="21"/>
      <c r="AD946" s="21"/>
    </row>
    <row r="947" spans="1:30" ht="15.75" customHeight="1">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c r="AA947" s="21"/>
      <c r="AB947" s="21"/>
      <c r="AC947" s="21"/>
      <c r="AD947" s="21"/>
    </row>
    <row r="948" spans="1:30" ht="15.75" customHeight="1">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c r="AA948" s="21"/>
      <c r="AB948" s="21"/>
      <c r="AC948" s="21"/>
      <c r="AD948" s="21"/>
    </row>
    <row r="949" spans="1:30" ht="15.75" customHeight="1">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c r="AA949" s="21"/>
      <c r="AB949" s="21"/>
      <c r="AC949" s="21"/>
      <c r="AD949" s="21"/>
    </row>
    <row r="950" spans="1:30" ht="15.75" customHeight="1">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c r="AA950" s="21"/>
      <c r="AB950" s="21"/>
      <c r="AC950" s="21"/>
      <c r="AD950" s="21"/>
    </row>
    <row r="951" spans="1:30" ht="15.75" customHeight="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c r="AA951" s="21"/>
      <c r="AB951" s="21"/>
      <c r="AC951" s="21"/>
      <c r="AD951" s="21"/>
    </row>
    <row r="952" spans="1:30" ht="15.75" customHeight="1">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c r="AA952" s="21"/>
      <c r="AB952" s="21"/>
      <c r="AC952" s="21"/>
      <c r="AD952" s="21"/>
    </row>
    <row r="953" spans="1:30" ht="15.75" customHeight="1">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c r="AA953" s="21"/>
      <c r="AB953" s="21"/>
      <c r="AC953" s="21"/>
      <c r="AD953" s="21"/>
    </row>
    <row r="954" spans="1:30" ht="15.75" customHeight="1">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c r="AA954" s="21"/>
      <c r="AB954" s="21"/>
      <c r="AC954" s="21"/>
      <c r="AD954" s="21"/>
    </row>
    <row r="955" spans="1:30" ht="15.75" customHeight="1">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c r="AA955" s="21"/>
      <c r="AB955" s="21"/>
      <c r="AC955" s="21"/>
      <c r="AD955" s="21"/>
    </row>
    <row r="956" spans="1:30" ht="15.75" customHeight="1">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c r="AA956" s="21"/>
      <c r="AB956" s="21"/>
      <c r="AC956" s="21"/>
      <c r="AD956" s="21"/>
    </row>
    <row r="957" spans="1:30" ht="15.75" customHeight="1">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c r="AA957" s="21"/>
      <c r="AB957" s="21"/>
      <c r="AC957" s="21"/>
      <c r="AD957" s="21"/>
    </row>
    <row r="958" spans="1:30" ht="15.75" customHeight="1">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c r="AA958" s="21"/>
      <c r="AB958" s="21"/>
      <c r="AC958" s="21"/>
      <c r="AD958" s="21"/>
    </row>
    <row r="959" spans="1:30" ht="15.75" customHeight="1">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c r="AA959" s="21"/>
      <c r="AB959" s="21"/>
      <c r="AC959" s="21"/>
      <c r="AD959" s="21"/>
    </row>
    <row r="960" spans="1:30" ht="15.75" customHeight="1">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c r="AA960" s="21"/>
      <c r="AB960" s="21"/>
      <c r="AC960" s="21"/>
      <c r="AD960" s="21"/>
    </row>
    <row r="961" spans="1:30" ht="15.75" customHeight="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c r="AA961" s="21"/>
      <c r="AB961" s="21"/>
      <c r="AC961" s="21"/>
      <c r="AD961" s="21"/>
    </row>
    <row r="962" spans="1:30" ht="15.75" customHeight="1">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c r="AA962" s="21"/>
      <c r="AB962" s="21"/>
      <c r="AC962" s="21"/>
      <c r="AD962" s="21"/>
    </row>
    <row r="963" spans="1:30" ht="15.75" customHeight="1">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c r="AA963" s="21"/>
      <c r="AB963" s="21"/>
      <c r="AC963" s="21"/>
      <c r="AD963" s="21"/>
    </row>
    <row r="964" spans="1:30" ht="15.75" customHeight="1">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c r="AA964" s="21"/>
      <c r="AB964" s="21"/>
      <c r="AC964" s="21"/>
      <c r="AD964" s="21"/>
    </row>
    <row r="965" spans="1:30" ht="15.75" customHeight="1">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c r="AA965" s="21"/>
      <c r="AB965" s="21"/>
      <c r="AC965" s="21"/>
      <c r="AD965" s="21"/>
    </row>
    <row r="966" spans="1:30" ht="15.75" customHeight="1">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c r="AA966" s="21"/>
      <c r="AB966" s="21"/>
      <c r="AC966" s="21"/>
      <c r="AD966" s="21"/>
    </row>
    <row r="967" spans="1:30" ht="15.75" customHeight="1">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c r="AA967" s="21"/>
      <c r="AB967" s="21"/>
      <c r="AC967" s="21"/>
      <c r="AD967" s="21"/>
    </row>
    <row r="968" spans="1:30" ht="15.75" customHeight="1">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c r="AA968" s="21"/>
      <c r="AB968" s="21"/>
      <c r="AC968" s="21"/>
      <c r="AD968" s="21"/>
    </row>
    <row r="969" spans="1:30" ht="15.75" customHeight="1">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c r="AA969" s="21"/>
      <c r="AB969" s="21"/>
      <c r="AC969" s="21"/>
      <c r="AD969" s="21"/>
    </row>
    <row r="970" spans="1:30" ht="15.75" customHeight="1">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c r="AA970" s="21"/>
      <c r="AB970" s="21"/>
      <c r="AC970" s="21"/>
      <c r="AD970" s="21"/>
    </row>
    <row r="971" spans="1:30" ht="15.75" customHeight="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c r="AA971" s="21"/>
      <c r="AB971" s="21"/>
      <c r="AC971" s="21"/>
      <c r="AD971" s="21"/>
    </row>
    <row r="972" spans="1:30" ht="15.75" customHeight="1">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c r="AA972" s="21"/>
      <c r="AB972" s="21"/>
      <c r="AC972" s="21"/>
      <c r="AD972" s="21"/>
    </row>
    <row r="973" spans="1:30" ht="15.75" customHeight="1">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c r="AA973" s="21"/>
      <c r="AB973" s="21"/>
      <c r="AC973" s="21"/>
      <c r="AD973" s="21"/>
    </row>
    <row r="974" spans="1:30" ht="15.75" customHeight="1">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c r="AA974" s="21"/>
      <c r="AB974" s="21"/>
      <c r="AC974" s="21"/>
      <c r="AD974" s="21"/>
    </row>
    <row r="975" spans="1:30" ht="15.75" customHeight="1">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c r="AA975" s="21"/>
      <c r="AB975" s="21"/>
      <c r="AC975" s="21"/>
      <c r="AD975" s="21"/>
    </row>
    <row r="976" spans="1:30" ht="15.75" customHeight="1">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c r="AA976" s="21"/>
      <c r="AB976" s="21"/>
      <c r="AC976" s="21"/>
      <c r="AD976" s="21"/>
    </row>
    <row r="977" spans="1:30" ht="15.75" customHeight="1">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c r="AA977" s="21"/>
      <c r="AB977" s="21"/>
      <c r="AC977" s="21"/>
      <c r="AD977" s="21"/>
    </row>
    <row r="978" spans="1:30" ht="15.75" customHeight="1">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c r="AA978" s="21"/>
      <c r="AB978" s="21"/>
      <c r="AC978" s="21"/>
      <c r="AD978" s="21"/>
    </row>
    <row r="979" spans="1:30" ht="15.75" customHeight="1">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c r="AA979" s="21"/>
      <c r="AB979" s="21"/>
      <c r="AC979" s="21"/>
      <c r="AD979" s="21"/>
    </row>
    <row r="980" spans="1:30" ht="15.75" customHeight="1">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c r="AA980" s="21"/>
      <c r="AB980" s="21"/>
      <c r="AC980" s="21"/>
      <c r="AD980" s="21"/>
    </row>
    <row r="981" spans="1:30" ht="15.75" customHeight="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c r="AA981" s="21"/>
      <c r="AB981" s="21"/>
      <c r="AC981" s="21"/>
      <c r="AD981" s="21"/>
    </row>
    <row r="982" spans="1:30" ht="15.75" customHeight="1">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c r="AA982" s="21"/>
      <c r="AB982" s="21"/>
      <c r="AC982" s="21"/>
      <c r="AD982" s="21"/>
    </row>
    <row r="983" spans="1:30" ht="15.75" customHeight="1">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c r="AA983" s="21"/>
      <c r="AB983" s="21"/>
      <c r="AC983" s="21"/>
      <c r="AD983" s="21"/>
    </row>
    <row r="984" spans="1:30" ht="15.75" customHeight="1">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c r="AA984" s="21"/>
      <c r="AB984" s="21"/>
      <c r="AC984" s="21"/>
      <c r="AD984" s="21"/>
    </row>
    <row r="985" spans="1:30" ht="15.75" customHeight="1">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c r="AA985" s="21"/>
      <c r="AB985" s="21"/>
      <c r="AC985" s="21"/>
      <c r="AD985" s="21"/>
    </row>
    <row r="986" spans="1:30" ht="15.75" customHeight="1">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c r="AA986" s="21"/>
      <c r="AB986" s="21"/>
      <c r="AC986" s="21"/>
      <c r="AD986" s="21"/>
    </row>
    <row r="987" spans="1:30" ht="15.75" customHeight="1">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c r="AA987" s="21"/>
      <c r="AB987" s="21"/>
      <c r="AC987" s="21"/>
      <c r="AD987" s="21"/>
    </row>
    <row r="988" spans="1:30" ht="15.75" customHeight="1">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c r="AA988" s="21"/>
      <c r="AB988" s="21"/>
      <c r="AC988" s="21"/>
      <c r="AD988" s="21"/>
    </row>
    <row r="989" spans="1:30" ht="15.75" customHeight="1">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c r="AA989" s="21"/>
      <c r="AB989" s="21"/>
      <c r="AC989" s="21"/>
      <c r="AD989" s="21"/>
    </row>
    <row r="990" spans="1:30" ht="15.75" customHeight="1">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c r="AA990" s="21"/>
      <c r="AB990" s="21"/>
      <c r="AC990" s="21"/>
      <c r="AD990" s="21"/>
    </row>
  </sheetData>
  <pageMargins left="0.7" right="0.7" top="0.75" bottom="0.75" header="0" footer="0"/>
  <pageSetup orientation="landscape"/>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Nodes properties</vt:lpstr>
      <vt:lpstr>Conductances determination</vt:lpstr>
      <vt:lpstr>Startup Parameters</vt:lpstr>
      <vt:lpstr>Operation</vt:lpstr>
      <vt:lpstr>Modes</vt:lpstr>
      <vt:lpstr>Nodes thermal properties</vt:lpstr>
      <vt:lpstr>Conductances_between_nodes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gonzalez vilar</dc:creator>
  <cp:lastModifiedBy>Eduardo Navarro</cp:lastModifiedBy>
  <dcterms:created xsi:type="dcterms:W3CDTF">2022-01-21T09:40:33Z</dcterms:created>
  <dcterms:modified xsi:type="dcterms:W3CDTF">2025-02-05T19:53:14Z</dcterms:modified>
</cp:coreProperties>
</file>