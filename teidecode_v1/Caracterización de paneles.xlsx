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duardo Navarro\Desktop\Cosas\Teidesat\Nueva carpeta\TeideThermal\teidecode_v1\"/>
    </mc:Choice>
  </mc:AlternateContent>
  <xr:revisionPtr revIDLastSave="0" documentId="13_ncr:1_{ECE8ADE4-B2FE-4E36-A86B-1918254F1533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Sin radiacción interna (2)" sheetId="5" r:id="rId1"/>
    <sheet name="Sin radiacción interna" sheetId="1" r:id="rId2"/>
    <sheet name="Sin radiacción interna + Metal" sheetId="6" r:id="rId3"/>
    <sheet name="Comparación de nodos" sheetId="7" r:id="rId4"/>
    <sheet name="Con radiacción interna" sheetId="3" r:id="rId5"/>
    <sheet name="Con radiacción interna + Metal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7" l="1"/>
  <c r="C27" i="7" s="1"/>
  <c r="AK5" i="7"/>
  <c r="X8" i="7"/>
  <c r="X9" i="7"/>
  <c r="AA7" i="7"/>
  <c r="Z7" i="7" s="1"/>
  <c r="AH5" i="7"/>
  <c r="C39" i="7"/>
  <c r="C36" i="7"/>
  <c r="C33" i="7"/>
  <c r="C30" i="7"/>
  <c r="F7" i="7"/>
  <c r="E7" i="7" s="1"/>
  <c r="C28" i="7"/>
  <c r="M5" i="7"/>
  <c r="P5" i="6"/>
  <c r="C8" i="6"/>
  <c r="F7" i="6"/>
  <c r="E7" i="6" s="1"/>
  <c r="C45" i="6"/>
  <c r="C42" i="6"/>
  <c r="C39" i="6"/>
  <c r="C36" i="6"/>
  <c r="C33" i="6"/>
  <c r="C30" i="6"/>
  <c r="C27" i="6"/>
  <c r="C24" i="6"/>
  <c r="C21" i="6"/>
  <c r="C18" i="6"/>
  <c r="C15" i="6"/>
  <c r="C12" i="6"/>
  <c r="C10" i="6"/>
  <c r="C13" i="6"/>
  <c r="M5" i="6"/>
  <c r="F7" i="5"/>
  <c r="E7" i="5" s="1"/>
  <c r="P5" i="5"/>
  <c r="M5" i="5"/>
  <c r="N9" i="3"/>
  <c r="C46" i="4"/>
  <c r="C44" i="4"/>
  <c r="C42" i="4"/>
  <c r="C40" i="4"/>
  <c r="C38" i="4"/>
  <c r="C36" i="4"/>
  <c r="C34" i="4"/>
  <c r="C32" i="4"/>
  <c r="C30" i="4"/>
  <c r="C28" i="4"/>
  <c r="C26" i="4"/>
  <c r="C24" i="4"/>
  <c r="C22" i="4"/>
  <c r="C20" i="4"/>
  <c r="C18" i="4"/>
  <c r="C16" i="4"/>
  <c r="C14" i="4"/>
  <c r="C12" i="4"/>
  <c r="C8" i="4"/>
  <c r="H7" i="4"/>
  <c r="G7" i="4" s="1"/>
  <c r="S5" i="4"/>
  <c r="O5" i="4"/>
  <c r="H7" i="3"/>
  <c r="G7" i="3" s="1"/>
  <c r="S5" i="3"/>
  <c r="C45" i="3" s="1"/>
  <c r="O5" i="3"/>
  <c r="P5" i="1"/>
  <c r="C47" i="1" s="1"/>
  <c r="F7" i="1"/>
  <c r="C8" i="7" l="1"/>
  <c r="C42" i="7"/>
  <c r="C10" i="7"/>
  <c r="C45" i="7"/>
  <c r="C15" i="7"/>
  <c r="C18" i="7"/>
  <c r="C21" i="7"/>
  <c r="C24" i="7"/>
  <c r="C12" i="7"/>
  <c r="X7" i="7"/>
  <c r="D7" i="7"/>
  <c r="Y7" i="7"/>
  <c r="Z8" i="7" s="1"/>
  <c r="C16" i="7"/>
  <c r="C25" i="7"/>
  <c r="C31" i="7"/>
  <c r="C34" i="7"/>
  <c r="C37" i="7"/>
  <c r="C40" i="7"/>
  <c r="C43" i="7"/>
  <c r="C46" i="7"/>
  <c r="C11" i="7"/>
  <c r="C14" i="7"/>
  <c r="C17" i="7"/>
  <c r="C20" i="7"/>
  <c r="C23" i="7"/>
  <c r="C26" i="7"/>
  <c r="C29" i="7"/>
  <c r="C32" i="7"/>
  <c r="C35" i="7"/>
  <c r="C38" i="7"/>
  <c r="C41" i="7"/>
  <c r="C44" i="7"/>
  <c r="C47" i="7"/>
  <c r="C13" i="7"/>
  <c r="C19" i="7"/>
  <c r="C7" i="7"/>
  <c r="C22" i="7"/>
  <c r="C9" i="7"/>
  <c r="D8" i="6"/>
  <c r="E8" i="6"/>
  <c r="F8" i="6" s="1"/>
  <c r="C9" i="6"/>
  <c r="C16" i="6"/>
  <c r="C19" i="6"/>
  <c r="C22" i="6"/>
  <c r="C25" i="6"/>
  <c r="C28" i="6"/>
  <c r="C31" i="6"/>
  <c r="C34" i="6"/>
  <c r="C37" i="6"/>
  <c r="C40" i="6"/>
  <c r="C43" i="6"/>
  <c r="C46" i="6"/>
  <c r="C11" i="6"/>
  <c r="C14" i="6"/>
  <c r="C17" i="6"/>
  <c r="C20" i="6"/>
  <c r="C23" i="6"/>
  <c r="C26" i="6"/>
  <c r="C29" i="6"/>
  <c r="C32" i="6"/>
  <c r="C35" i="6"/>
  <c r="C38" i="6"/>
  <c r="C41" i="6"/>
  <c r="C44" i="6"/>
  <c r="C47" i="6"/>
  <c r="C7" i="6"/>
  <c r="C9" i="5"/>
  <c r="C7" i="5"/>
  <c r="C8" i="5"/>
  <c r="C10" i="5"/>
  <c r="D8" i="5"/>
  <c r="E8" i="5"/>
  <c r="F8" i="5" s="1"/>
  <c r="C10" i="4"/>
  <c r="C15" i="4"/>
  <c r="C21" i="4"/>
  <c r="C23" i="4"/>
  <c r="C25" i="4"/>
  <c r="C27" i="4"/>
  <c r="C29" i="4"/>
  <c r="C31" i="4"/>
  <c r="C33" i="4"/>
  <c r="C35" i="4"/>
  <c r="C37" i="4"/>
  <c r="C39" i="4"/>
  <c r="C41" i="4"/>
  <c r="C43" i="4"/>
  <c r="C45" i="4"/>
  <c r="C47" i="4"/>
  <c r="C9" i="4"/>
  <c r="C13" i="4"/>
  <c r="C19" i="4"/>
  <c r="C7" i="4"/>
  <c r="C11" i="4"/>
  <c r="C17" i="4"/>
  <c r="C15" i="3"/>
  <c r="C18" i="3"/>
  <c r="C12" i="3"/>
  <c r="C24" i="3"/>
  <c r="C27" i="3"/>
  <c r="C30" i="3"/>
  <c r="C33" i="3"/>
  <c r="C36" i="3"/>
  <c r="C39" i="3"/>
  <c r="C8" i="3"/>
  <c r="C42" i="3"/>
  <c r="C21" i="3"/>
  <c r="C10" i="3"/>
  <c r="C13" i="3"/>
  <c r="C22" i="3"/>
  <c r="C25" i="3"/>
  <c r="C31" i="3"/>
  <c r="C34" i="3"/>
  <c r="C37" i="3"/>
  <c r="C40" i="3"/>
  <c r="C43" i="3"/>
  <c r="C46" i="3"/>
  <c r="C16" i="3"/>
  <c r="C28" i="3"/>
  <c r="C9" i="3"/>
  <c r="C19" i="3"/>
  <c r="C7" i="3"/>
  <c r="C11" i="3"/>
  <c r="C14" i="3"/>
  <c r="C17" i="3"/>
  <c r="C20" i="3"/>
  <c r="C23" i="3"/>
  <c r="C26" i="3"/>
  <c r="C29" i="3"/>
  <c r="C32" i="3"/>
  <c r="C35" i="3"/>
  <c r="C38" i="3"/>
  <c r="C41" i="3"/>
  <c r="C44" i="3"/>
  <c r="C47" i="3"/>
  <c r="C37" i="1"/>
  <c r="C39" i="1"/>
  <c r="C40" i="1"/>
  <c r="C38" i="1"/>
  <c r="C29" i="1"/>
  <c r="C43" i="1"/>
  <c r="C36" i="1"/>
  <c r="C28" i="1"/>
  <c r="C41" i="1"/>
  <c r="C30" i="1"/>
  <c r="C42" i="1"/>
  <c r="C31" i="1"/>
  <c r="C32" i="1"/>
  <c r="C44" i="1"/>
  <c r="C33" i="1"/>
  <c r="C45" i="1"/>
  <c r="C34" i="1"/>
  <c r="C46" i="1"/>
  <c r="C35" i="1"/>
  <c r="E8" i="7" l="1"/>
  <c r="F8" i="7" s="1"/>
  <c r="Y8" i="7"/>
  <c r="AA8" i="7"/>
  <c r="E9" i="6"/>
  <c r="F9" i="6" s="1"/>
  <c r="D9" i="6"/>
  <c r="D9" i="5"/>
  <c r="E9" i="5"/>
  <c r="F9" i="5" s="1"/>
  <c r="D7" i="4"/>
  <c r="D7" i="3"/>
  <c r="G8" i="3" s="1"/>
  <c r="F8" i="3" s="1"/>
  <c r="C24" i="1"/>
  <c r="E7" i="1"/>
  <c r="C11" i="1"/>
  <c r="C16" i="1"/>
  <c r="C17" i="1"/>
  <c r="C20" i="1"/>
  <c r="C22" i="1"/>
  <c r="C23" i="1"/>
  <c r="C25" i="1"/>
  <c r="C26" i="1"/>
  <c r="C27" i="1"/>
  <c r="C7" i="1"/>
  <c r="M5" i="1"/>
  <c r="D8" i="7" l="1"/>
  <c r="Z9" i="7"/>
  <c r="E10" i="6"/>
  <c r="F10" i="6" s="1"/>
  <c r="D10" i="6"/>
  <c r="E10" i="5"/>
  <c r="D10" i="5"/>
  <c r="L9" i="5" s="1"/>
  <c r="G8" i="4"/>
  <c r="E8" i="4" s="1"/>
  <c r="H8" i="3"/>
  <c r="E8" i="3"/>
  <c r="C15" i="1"/>
  <c r="C14" i="1"/>
  <c r="C13" i="1"/>
  <c r="C12" i="1"/>
  <c r="C10" i="1"/>
  <c r="D8" i="1"/>
  <c r="C21" i="1"/>
  <c r="C9" i="1"/>
  <c r="C8" i="1"/>
  <c r="C19" i="1"/>
  <c r="C18" i="1"/>
  <c r="E9" i="7" l="1"/>
  <c r="F9" i="7" s="1"/>
  <c r="Y9" i="7"/>
  <c r="AG9" i="7" s="1"/>
  <c r="AA9" i="7"/>
  <c r="AE9" i="7" s="1"/>
  <c r="AF9" i="7" s="1"/>
  <c r="E11" i="6"/>
  <c r="F11" i="6" s="1"/>
  <c r="D11" i="6"/>
  <c r="F10" i="5"/>
  <c r="J9" i="5" s="1"/>
  <c r="K9" i="5"/>
  <c r="M9" i="5" s="1"/>
  <c r="F8" i="4"/>
  <c r="D8" i="4" s="1"/>
  <c r="G9" i="4" s="1"/>
  <c r="H8" i="4"/>
  <c r="D8" i="3"/>
  <c r="G9" i="3" s="1"/>
  <c r="E8" i="1"/>
  <c r="E9" i="1" s="1"/>
  <c r="F9" i="1" s="1"/>
  <c r="D9" i="7" l="1"/>
  <c r="E10" i="7" s="1"/>
  <c r="AH9" i="7"/>
  <c r="E12" i="6"/>
  <c r="F12" i="6" s="1"/>
  <c r="D12" i="6"/>
  <c r="H9" i="4"/>
  <c r="E9" i="4"/>
  <c r="F9" i="4"/>
  <c r="E9" i="3"/>
  <c r="F9" i="3"/>
  <c r="H9" i="3"/>
  <c r="D9" i="1"/>
  <c r="D10" i="1" s="1"/>
  <c r="F8" i="1"/>
  <c r="D10" i="7" l="1"/>
  <c r="F10" i="7"/>
  <c r="E13" i="6"/>
  <c r="F13" i="6" s="1"/>
  <c r="D13" i="6"/>
  <c r="D9" i="4"/>
  <c r="G10" i="4" s="1"/>
  <c r="H10" i="4" s="1"/>
  <c r="D9" i="3"/>
  <c r="G10" i="3" s="1"/>
  <c r="E10" i="3" s="1"/>
  <c r="E10" i="1"/>
  <c r="F10" i="1" s="1"/>
  <c r="E11" i="7" l="1"/>
  <c r="F11" i="7" s="1"/>
  <c r="D11" i="7"/>
  <c r="E14" i="6"/>
  <c r="F14" i="6" s="1"/>
  <c r="D14" i="6"/>
  <c r="E10" i="4"/>
  <c r="F10" i="4"/>
  <c r="H10" i="3"/>
  <c r="F10" i="3"/>
  <c r="E11" i="1"/>
  <c r="F11" i="1" s="1"/>
  <c r="D11" i="1"/>
  <c r="E12" i="7" l="1"/>
  <c r="F12" i="7" s="1"/>
  <c r="D12" i="7"/>
  <c r="E15" i="6"/>
  <c r="F15" i="6" s="1"/>
  <c r="D15" i="6"/>
  <c r="D10" i="4"/>
  <c r="G11" i="4" s="1"/>
  <c r="H11" i="4" s="1"/>
  <c r="D10" i="3"/>
  <c r="G11" i="3" s="1"/>
  <c r="E12" i="1"/>
  <c r="F12" i="1" s="1"/>
  <c r="D12" i="1"/>
  <c r="E13" i="7" l="1"/>
  <c r="F13" i="7" s="1"/>
  <c r="D13" i="7"/>
  <c r="E16" i="6"/>
  <c r="F16" i="6" s="1"/>
  <c r="D16" i="6"/>
  <c r="E11" i="4"/>
  <c r="F11" i="4"/>
  <c r="E11" i="3"/>
  <c r="H11" i="3"/>
  <c r="F11" i="3"/>
  <c r="D13" i="1"/>
  <c r="E13" i="1"/>
  <c r="F13" i="1" s="1"/>
  <c r="E14" i="7" l="1"/>
  <c r="F14" i="7" s="1"/>
  <c r="D14" i="7"/>
  <c r="E17" i="6"/>
  <c r="F17" i="6" s="1"/>
  <c r="D17" i="6"/>
  <c r="D11" i="4"/>
  <c r="G12" i="4" s="1"/>
  <c r="H12" i="4" s="1"/>
  <c r="D11" i="3"/>
  <c r="G12" i="3" s="1"/>
  <c r="E12" i="3"/>
  <c r="E14" i="1"/>
  <c r="F14" i="1" s="1"/>
  <c r="D14" i="1"/>
  <c r="E15" i="7" l="1"/>
  <c r="F15" i="7" s="1"/>
  <c r="D15" i="7"/>
  <c r="E18" i="6"/>
  <c r="F18" i="6" s="1"/>
  <c r="D18" i="6"/>
  <c r="E12" i="4"/>
  <c r="F12" i="4"/>
  <c r="F12" i="3"/>
  <c r="D12" i="3" s="1"/>
  <c r="G13" i="3" s="1"/>
  <c r="H12" i="3"/>
  <c r="D15" i="1"/>
  <c r="E15" i="1"/>
  <c r="F15" i="1" s="1"/>
  <c r="E16" i="7" l="1"/>
  <c r="F16" i="7" s="1"/>
  <c r="D16" i="7"/>
  <c r="E19" i="6"/>
  <c r="F19" i="6" s="1"/>
  <c r="D19" i="6"/>
  <c r="D12" i="4"/>
  <c r="G13" i="4" s="1"/>
  <c r="H13" i="4" s="1"/>
  <c r="F13" i="3"/>
  <c r="H13" i="3"/>
  <c r="E13" i="3"/>
  <c r="D16" i="1"/>
  <c r="E16" i="1"/>
  <c r="F16" i="1" s="1"/>
  <c r="E17" i="7" l="1"/>
  <c r="F17" i="7" s="1"/>
  <c r="D17" i="7"/>
  <c r="E20" i="6"/>
  <c r="F20" i="6" s="1"/>
  <c r="D20" i="6"/>
  <c r="E13" i="4"/>
  <c r="F13" i="4"/>
  <c r="D13" i="3"/>
  <c r="G14" i="3" s="1"/>
  <c r="H14" i="3" s="1"/>
  <c r="E14" i="3"/>
  <c r="F14" i="3"/>
  <c r="E17" i="1"/>
  <c r="F17" i="1" s="1"/>
  <c r="D17" i="1"/>
  <c r="E18" i="7" l="1"/>
  <c r="F18" i="7" s="1"/>
  <c r="D18" i="7"/>
  <c r="E21" i="6"/>
  <c r="F21" i="6" s="1"/>
  <c r="D21" i="6"/>
  <c r="D13" i="4"/>
  <c r="G14" i="4" s="1"/>
  <c r="H14" i="4" s="1"/>
  <c r="D14" i="3"/>
  <c r="G15" i="3" s="1"/>
  <c r="F15" i="3" s="1"/>
  <c r="E15" i="3"/>
  <c r="H15" i="3"/>
  <c r="D18" i="1"/>
  <c r="E18" i="1"/>
  <c r="F18" i="1" s="1"/>
  <c r="E19" i="7" l="1"/>
  <c r="F19" i="7" s="1"/>
  <c r="D19" i="7"/>
  <c r="E22" i="6"/>
  <c r="F22" i="6" s="1"/>
  <c r="D22" i="6"/>
  <c r="E14" i="4"/>
  <c r="F14" i="4"/>
  <c r="D15" i="3"/>
  <c r="G16" i="3" s="1"/>
  <c r="F16" i="3" s="1"/>
  <c r="E16" i="3"/>
  <c r="E19" i="1"/>
  <c r="F19" i="1" s="1"/>
  <c r="D19" i="1"/>
  <c r="E20" i="7" l="1"/>
  <c r="F20" i="7" s="1"/>
  <c r="D20" i="7"/>
  <c r="E23" i="6"/>
  <c r="F23" i="6" s="1"/>
  <c r="D23" i="6"/>
  <c r="D14" i="4"/>
  <c r="G15" i="4" s="1"/>
  <c r="D16" i="3"/>
  <c r="G17" i="3" s="1"/>
  <c r="E17" i="3" s="1"/>
  <c r="H16" i="3"/>
  <c r="E20" i="1"/>
  <c r="F20" i="1" s="1"/>
  <c r="D20" i="1"/>
  <c r="E21" i="7" l="1"/>
  <c r="F21" i="7" s="1"/>
  <c r="D21" i="7"/>
  <c r="E24" i="6"/>
  <c r="F24" i="6" s="1"/>
  <c r="D24" i="6"/>
  <c r="F17" i="3"/>
  <c r="H15" i="4"/>
  <c r="E15" i="4"/>
  <c r="F15" i="4"/>
  <c r="D17" i="3"/>
  <c r="G18" i="3" s="1"/>
  <c r="F18" i="3" s="1"/>
  <c r="E21" i="1"/>
  <c r="F21" i="1" s="1"/>
  <c r="D21" i="1"/>
  <c r="E22" i="7" l="1"/>
  <c r="F22" i="7" s="1"/>
  <c r="D22" i="7"/>
  <c r="E25" i="6"/>
  <c r="F25" i="6" s="1"/>
  <c r="D25" i="6"/>
  <c r="D15" i="4"/>
  <c r="G16" i="4" s="1"/>
  <c r="H16" i="4" s="1"/>
  <c r="E18" i="3"/>
  <c r="D18" i="3" s="1"/>
  <c r="G19" i="3" s="1"/>
  <c r="F19" i="3" s="1"/>
  <c r="H17" i="3"/>
  <c r="E22" i="1"/>
  <c r="F22" i="1" s="1"/>
  <c r="D22" i="1"/>
  <c r="E23" i="7" l="1"/>
  <c r="F23" i="7" s="1"/>
  <c r="D23" i="7"/>
  <c r="E26" i="6"/>
  <c r="F26" i="6" s="1"/>
  <c r="D26" i="6"/>
  <c r="E16" i="4"/>
  <c r="F16" i="4"/>
  <c r="E19" i="3"/>
  <c r="D19" i="3" s="1"/>
  <c r="G20" i="3" s="1"/>
  <c r="E20" i="3" s="1"/>
  <c r="E23" i="1"/>
  <c r="F23" i="1" s="1"/>
  <c r="D23" i="1"/>
  <c r="E24" i="7" l="1"/>
  <c r="F24" i="7" s="1"/>
  <c r="D24" i="7"/>
  <c r="E27" i="6"/>
  <c r="F27" i="6" s="1"/>
  <c r="D27" i="6"/>
  <c r="D16" i="4"/>
  <c r="G17" i="4" s="1"/>
  <c r="F20" i="3"/>
  <c r="D20" i="3" s="1"/>
  <c r="G21" i="3" s="1"/>
  <c r="F21" i="3" s="1"/>
  <c r="H18" i="3"/>
  <c r="D24" i="1"/>
  <c r="E24" i="1"/>
  <c r="F24" i="1" s="1"/>
  <c r="E25" i="7" l="1"/>
  <c r="F25" i="7" s="1"/>
  <c r="D25" i="7"/>
  <c r="E28" i="6"/>
  <c r="F28" i="6" s="1"/>
  <c r="D28" i="6"/>
  <c r="H17" i="4"/>
  <c r="E17" i="4"/>
  <c r="F17" i="4"/>
  <c r="E21" i="3"/>
  <c r="D21" i="3" s="1"/>
  <c r="G22" i="3" s="1"/>
  <c r="F22" i="3" s="1"/>
  <c r="D25" i="1"/>
  <c r="E25" i="1"/>
  <c r="F25" i="1" s="1"/>
  <c r="E26" i="7" l="1"/>
  <c r="F26" i="7" s="1"/>
  <c r="D26" i="7"/>
  <c r="E29" i="6"/>
  <c r="F29" i="6" s="1"/>
  <c r="D29" i="6"/>
  <c r="D17" i="4"/>
  <c r="G18" i="4" s="1"/>
  <c r="H18" i="4" s="1"/>
  <c r="E22" i="3"/>
  <c r="H19" i="3"/>
  <c r="E26" i="1"/>
  <c r="F26" i="1" s="1"/>
  <c r="D26" i="1"/>
  <c r="E27" i="7" l="1"/>
  <c r="F27" i="7" s="1"/>
  <c r="D27" i="7"/>
  <c r="E30" i="6"/>
  <c r="F30" i="6" s="1"/>
  <c r="D30" i="6"/>
  <c r="E18" i="4"/>
  <c r="F18" i="4"/>
  <c r="D22" i="3"/>
  <c r="G23" i="3" s="1"/>
  <c r="F23" i="3" s="1"/>
  <c r="E27" i="1"/>
  <c r="D27" i="1"/>
  <c r="E28" i="7" l="1"/>
  <c r="F28" i="7" s="1"/>
  <c r="E31" i="6"/>
  <c r="F31" i="6" s="1"/>
  <c r="D31" i="6"/>
  <c r="D18" i="4"/>
  <c r="G19" i="4" s="1"/>
  <c r="H19" i="4" s="1"/>
  <c r="E23" i="3"/>
  <c r="H20" i="3"/>
  <c r="E28" i="1"/>
  <c r="F28" i="1" s="1"/>
  <c r="D28" i="1"/>
  <c r="F27" i="1"/>
  <c r="D28" i="7" l="1"/>
  <c r="E32" i="6"/>
  <c r="F32" i="6" s="1"/>
  <c r="D32" i="6"/>
  <c r="E19" i="4"/>
  <c r="F19" i="4"/>
  <c r="D23" i="3"/>
  <c r="G24" i="3" s="1"/>
  <c r="F24" i="3" s="1"/>
  <c r="E29" i="1"/>
  <c r="F29" i="1" s="1"/>
  <c r="D29" i="1"/>
  <c r="E29" i="7" l="1"/>
  <c r="F29" i="7" s="1"/>
  <c r="D29" i="7"/>
  <c r="E33" i="6"/>
  <c r="F33" i="6" s="1"/>
  <c r="D33" i="6"/>
  <c r="D19" i="4"/>
  <c r="G20" i="4" s="1"/>
  <c r="E24" i="3"/>
  <c r="H21" i="3"/>
  <c r="E30" i="1"/>
  <c r="F30" i="1" s="1"/>
  <c r="D30" i="1"/>
  <c r="E30" i="7" l="1"/>
  <c r="F30" i="7" s="1"/>
  <c r="D30" i="7"/>
  <c r="E34" i="6"/>
  <c r="F34" i="6" s="1"/>
  <c r="D34" i="6"/>
  <c r="H20" i="4"/>
  <c r="E20" i="4"/>
  <c r="F20" i="4"/>
  <c r="D24" i="3"/>
  <c r="G25" i="3" s="1"/>
  <c r="F25" i="3" s="1"/>
  <c r="E31" i="1"/>
  <c r="F31" i="1" s="1"/>
  <c r="D31" i="1"/>
  <c r="E31" i="7" l="1"/>
  <c r="F31" i="7" s="1"/>
  <c r="D31" i="7"/>
  <c r="E35" i="6"/>
  <c r="F35" i="6" s="1"/>
  <c r="D35" i="6"/>
  <c r="D20" i="4"/>
  <c r="G21" i="4" s="1"/>
  <c r="H21" i="4" s="1"/>
  <c r="E25" i="3"/>
  <c r="H22" i="3"/>
  <c r="E32" i="1"/>
  <c r="F32" i="1" s="1"/>
  <c r="D32" i="1"/>
  <c r="E32" i="7" l="1"/>
  <c r="F32" i="7" s="1"/>
  <c r="D32" i="7"/>
  <c r="E36" i="6"/>
  <c r="F36" i="6" s="1"/>
  <c r="D36" i="6"/>
  <c r="E21" i="4"/>
  <c r="F21" i="4"/>
  <c r="D25" i="3"/>
  <c r="G26" i="3" s="1"/>
  <c r="F26" i="3" s="1"/>
  <c r="D33" i="1"/>
  <c r="E33" i="1"/>
  <c r="F33" i="1" s="1"/>
  <c r="E33" i="7" l="1"/>
  <c r="F33" i="7" s="1"/>
  <c r="D33" i="7"/>
  <c r="E37" i="6"/>
  <c r="F37" i="6" s="1"/>
  <c r="D37" i="6"/>
  <c r="D21" i="4"/>
  <c r="G22" i="4" s="1"/>
  <c r="E26" i="3"/>
  <c r="D26" i="3" s="1"/>
  <c r="G27" i="3" s="1"/>
  <c r="E27" i="3" s="1"/>
  <c r="H23" i="3"/>
  <c r="E34" i="1"/>
  <c r="F34" i="1" s="1"/>
  <c r="D34" i="1"/>
  <c r="E34" i="7" l="1"/>
  <c r="F34" i="7" s="1"/>
  <c r="D34" i="7"/>
  <c r="E38" i="6"/>
  <c r="F38" i="6" s="1"/>
  <c r="D38" i="6"/>
  <c r="H22" i="4"/>
  <c r="E22" i="4"/>
  <c r="F22" i="4"/>
  <c r="F27" i="3"/>
  <c r="E35" i="1"/>
  <c r="F35" i="1" s="1"/>
  <c r="D35" i="1"/>
  <c r="E35" i="7" l="1"/>
  <c r="F35" i="7" s="1"/>
  <c r="D35" i="7"/>
  <c r="E39" i="6"/>
  <c r="F39" i="6" s="1"/>
  <c r="D39" i="6"/>
  <c r="D22" i="4"/>
  <c r="G23" i="4" s="1"/>
  <c r="H23" i="4" s="1"/>
  <c r="D27" i="3"/>
  <c r="G28" i="3" s="1"/>
  <c r="E28" i="3" s="1"/>
  <c r="H24" i="3"/>
  <c r="E36" i="1"/>
  <c r="F36" i="1" s="1"/>
  <c r="D36" i="1"/>
  <c r="E36" i="7" l="1"/>
  <c r="F36" i="7" s="1"/>
  <c r="D36" i="7"/>
  <c r="E40" i="6"/>
  <c r="F40" i="6" s="1"/>
  <c r="D40" i="6"/>
  <c r="E23" i="4"/>
  <c r="F23" i="4"/>
  <c r="F28" i="3"/>
  <c r="E37" i="1"/>
  <c r="F37" i="1" s="1"/>
  <c r="D37" i="1"/>
  <c r="E37" i="7" l="1"/>
  <c r="F37" i="7" s="1"/>
  <c r="D37" i="7"/>
  <c r="E41" i="6"/>
  <c r="F41" i="6" s="1"/>
  <c r="D41" i="6"/>
  <c r="D23" i="4"/>
  <c r="G24" i="4" s="1"/>
  <c r="H24" i="4" s="1"/>
  <c r="D28" i="3"/>
  <c r="G29" i="3" s="1"/>
  <c r="E29" i="3" s="1"/>
  <c r="H25" i="3"/>
  <c r="E38" i="1"/>
  <c r="F38" i="1" s="1"/>
  <c r="D38" i="1"/>
  <c r="E38" i="7" l="1"/>
  <c r="F38" i="7" s="1"/>
  <c r="D38" i="7"/>
  <c r="E42" i="6"/>
  <c r="F42" i="6" s="1"/>
  <c r="D42" i="6"/>
  <c r="E24" i="4"/>
  <c r="F24" i="4"/>
  <c r="F29" i="3"/>
  <c r="E39" i="1"/>
  <c r="F39" i="1" s="1"/>
  <c r="D39" i="1"/>
  <c r="E39" i="7" l="1"/>
  <c r="F39" i="7" s="1"/>
  <c r="D39" i="7"/>
  <c r="E43" i="6"/>
  <c r="F43" i="6" s="1"/>
  <c r="D43" i="6"/>
  <c r="D24" i="4"/>
  <c r="G25" i="4" s="1"/>
  <c r="D29" i="3"/>
  <c r="G30" i="3" s="1"/>
  <c r="E30" i="3" s="1"/>
  <c r="H26" i="3"/>
  <c r="E40" i="1"/>
  <c r="F40" i="1" s="1"/>
  <c r="D40" i="1"/>
  <c r="E40" i="7" l="1"/>
  <c r="F40" i="7" s="1"/>
  <c r="D40" i="7"/>
  <c r="E44" i="6"/>
  <c r="F44" i="6" s="1"/>
  <c r="D44" i="6"/>
  <c r="H25" i="4"/>
  <c r="E25" i="4"/>
  <c r="F25" i="4"/>
  <c r="F30" i="3"/>
  <c r="E41" i="1"/>
  <c r="F41" i="1" s="1"/>
  <c r="D41" i="1"/>
  <c r="E41" i="7" l="1"/>
  <c r="F41" i="7" s="1"/>
  <c r="D41" i="7"/>
  <c r="E45" i="6"/>
  <c r="F45" i="6" s="1"/>
  <c r="D45" i="6"/>
  <c r="D25" i="4"/>
  <c r="G26" i="4" s="1"/>
  <c r="H26" i="4" s="1"/>
  <c r="D30" i="3"/>
  <c r="G31" i="3" s="1"/>
  <c r="E31" i="3" s="1"/>
  <c r="H27" i="3"/>
  <c r="D42" i="1"/>
  <c r="E42" i="1"/>
  <c r="F42" i="1" s="1"/>
  <c r="E42" i="7" l="1"/>
  <c r="F42" i="7" s="1"/>
  <c r="D42" i="7"/>
  <c r="E46" i="6"/>
  <c r="F46" i="6" s="1"/>
  <c r="D46" i="6"/>
  <c r="E47" i="6" s="1"/>
  <c r="E26" i="4"/>
  <c r="F26" i="4"/>
  <c r="F31" i="3"/>
  <c r="E43" i="1"/>
  <c r="F43" i="1" s="1"/>
  <c r="D43" i="1"/>
  <c r="E43" i="7" l="1"/>
  <c r="F43" i="7" s="1"/>
  <c r="D43" i="7"/>
  <c r="D47" i="6"/>
  <c r="L9" i="6" s="1"/>
  <c r="D26" i="4"/>
  <c r="G27" i="4" s="1"/>
  <c r="D31" i="3"/>
  <c r="G32" i="3" s="1"/>
  <c r="E32" i="3" s="1"/>
  <c r="H28" i="3"/>
  <c r="E44" i="1"/>
  <c r="F44" i="1" s="1"/>
  <c r="D44" i="1"/>
  <c r="E44" i="7" l="1"/>
  <c r="F44" i="7" s="1"/>
  <c r="D44" i="7"/>
  <c r="AG10" i="7"/>
  <c r="AE10" i="7"/>
  <c r="AF10" i="7"/>
  <c r="L10" i="6"/>
  <c r="F47" i="6"/>
  <c r="K9" i="6"/>
  <c r="K10" i="6" s="1"/>
  <c r="L10" i="5"/>
  <c r="J10" i="5"/>
  <c r="K10" i="5"/>
  <c r="H27" i="4"/>
  <c r="E27" i="4"/>
  <c r="F27" i="4"/>
  <c r="F32" i="3"/>
  <c r="H29" i="3"/>
  <c r="E45" i="1"/>
  <c r="F45" i="1" s="1"/>
  <c r="D45" i="1"/>
  <c r="E45" i="7" l="1"/>
  <c r="F45" i="7" s="1"/>
  <c r="D45" i="7"/>
  <c r="AH10" i="7"/>
  <c r="J9" i="6"/>
  <c r="J10" i="6" s="1"/>
  <c r="M9" i="6"/>
  <c r="M10" i="6" s="1"/>
  <c r="M10" i="5"/>
  <c r="D27" i="4"/>
  <c r="G28" i="4" s="1"/>
  <c r="H28" i="4" s="1"/>
  <c r="E28" i="4"/>
  <c r="D32" i="3"/>
  <c r="G33" i="3" s="1"/>
  <c r="E33" i="3" s="1"/>
  <c r="E46" i="1"/>
  <c r="F46" i="1" s="1"/>
  <c r="D46" i="1"/>
  <c r="E46" i="7" l="1"/>
  <c r="F46" i="7" s="1"/>
  <c r="D46" i="7"/>
  <c r="F28" i="4"/>
  <c r="F33" i="3"/>
  <c r="D33" i="3" s="1"/>
  <c r="G34" i="3" s="1"/>
  <c r="E34" i="3" s="1"/>
  <c r="H30" i="3"/>
  <c r="E47" i="1"/>
  <c r="K9" i="1" s="1"/>
  <c r="D47" i="1"/>
  <c r="L9" i="1" s="1"/>
  <c r="E47" i="7" l="1"/>
  <c r="D47" i="7"/>
  <c r="L9" i="7" s="1"/>
  <c r="D28" i="4"/>
  <c r="G29" i="4" s="1"/>
  <c r="F34" i="3"/>
  <c r="L10" i="1"/>
  <c r="F47" i="1"/>
  <c r="J9" i="1" s="1"/>
  <c r="J10" i="1" s="1"/>
  <c r="M9" i="1"/>
  <c r="L10" i="7" l="1"/>
  <c r="K9" i="7"/>
  <c r="K10" i="7" s="1"/>
  <c r="F47" i="7"/>
  <c r="J9" i="7" s="1"/>
  <c r="J10" i="7" s="1"/>
  <c r="H29" i="4"/>
  <c r="E29" i="4"/>
  <c r="F29" i="4"/>
  <c r="D34" i="3"/>
  <c r="G35" i="3" s="1"/>
  <c r="E35" i="3" s="1"/>
  <c r="H31" i="3"/>
  <c r="K10" i="1"/>
  <c r="M10" i="1"/>
  <c r="M9" i="7" l="1"/>
  <c r="M10" i="7" s="1"/>
  <c r="D29" i="4"/>
  <c r="G30" i="4" s="1"/>
  <c r="H30" i="4" s="1"/>
  <c r="E30" i="4"/>
  <c r="F35" i="3"/>
  <c r="H32" i="3"/>
  <c r="F30" i="4" l="1"/>
  <c r="D35" i="3"/>
  <c r="G36" i="3" s="1"/>
  <c r="E36" i="3" s="1"/>
  <c r="H33" i="3"/>
  <c r="D30" i="4" l="1"/>
  <c r="G31" i="4" s="1"/>
  <c r="F36" i="3"/>
  <c r="D36" i="3" s="1"/>
  <c r="G37" i="3" s="1"/>
  <c r="E37" i="3" s="1"/>
  <c r="H34" i="3"/>
  <c r="H31" i="4" l="1"/>
  <c r="E31" i="4"/>
  <c r="F31" i="4"/>
  <c r="F37" i="3"/>
  <c r="H35" i="3"/>
  <c r="D31" i="4" l="1"/>
  <c r="G32" i="4" s="1"/>
  <c r="H32" i="4" s="1"/>
  <c r="D37" i="3"/>
  <c r="G38" i="3" s="1"/>
  <c r="E38" i="3" s="1"/>
  <c r="H36" i="3"/>
  <c r="E32" i="4" l="1"/>
  <c r="F32" i="4"/>
  <c r="F38" i="3"/>
  <c r="H37" i="3"/>
  <c r="D32" i="4" l="1"/>
  <c r="G33" i="4" s="1"/>
  <c r="D38" i="3"/>
  <c r="G39" i="3" s="1"/>
  <c r="E39" i="3" s="1"/>
  <c r="H38" i="3"/>
  <c r="F39" i="3" l="1"/>
  <c r="H33" i="4"/>
  <c r="E33" i="4"/>
  <c r="F33" i="4"/>
  <c r="D39" i="3"/>
  <c r="G40" i="3" s="1"/>
  <c r="E40" i="3" s="1"/>
  <c r="H39" i="3"/>
  <c r="D33" i="4" l="1"/>
  <c r="G34" i="4" s="1"/>
  <c r="H34" i="4" s="1"/>
  <c r="F40" i="3"/>
  <c r="H40" i="3"/>
  <c r="E34" i="4" l="1"/>
  <c r="F34" i="4"/>
  <c r="D40" i="3"/>
  <c r="G41" i="3" s="1"/>
  <c r="E41" i="3" s="1"/>
  <c r="D34" i="4" l="1"/>
  <c r="G35" i="4" s="1"/>
  <c r="H41" i="3"/>
  <c r="F41" i="3"/>
  <c r="H35" i="4" l="1"/>
  <c r="E35" i="4"/>
  <c r="F35" i="4"/>
  <c r="D41" i="3"/>
  <c r="G42" i="3" s="1"/>
  <c r="D35" i="4" l="1"/>
  <c r="G36" i="4" s="1"/>
  <c r="H36" i="4" s="1"/>
  <c r="E42" i="3"/>
  <c r="H42" i="3"/>
  <c r="F42" i="3"/>
  <c r="E36" i="4" l="1"/>
  <c r="F36" i="4"/>
  <c r="D42" i="3"/>
  <c r="G43" i="3" s="1"/>
  <c r="D36" i="4" l="1"/>
  <c r="G37" i="4" s="1"/>
  <c r="E43" i="3"/>
  <c r="H43" i="3"/>
  <c r="F43" i="3"/>
  <c r="H37" i="4" l="1"/>
  <c r="E37" i="4"/>
  <c r="F37" i="4"/>
  <c r="D43" i="3"/>
  <c r="G44" i="3" s="1"/>
  <c r="D37" i="4" l="1"/>
  <c r="G38" i="4" s="1"/>
  <c r="H38" i="4" s="1"/>
  <c r="E44" i="3"/>
  <c r="H44" i="3"/>
  <c r="F44" i="3"/>
  <c r="E38" i="4" l="1"/>
  <c r="F38" i="4"/>
  <c r="D44" i="3"/>
  <c r="G45" i="3" s="1"/>
  <c r="D38" i="4" l="1"/>
  <c r="G39" i="4" s="1"/>
  <c r="E45" i="3"/>
  <c r="H45" i="3"/>
  <c r="F45" i="3"/>
  <c r="H39" i="4" l="1"/>
  <c r="E39" i="4"/>
  <c r="F39" i="4"/>
  <c r="D45" i="3"/>
  <c r="G46" i="3" s="1"/>
  <c r="E46" i="3" s="1"/>
  <c r="D39" i="4" l="1"/>
  <c r="G40" i="4" s="1"/>
  <c r="H40" i="4" s="1"/>
  <c r="F46" i="3"/>
  <c r="D46" i="3" s="1"/>
  <c r="G47" i="3" s="1"/>
  <c r="H46" i="3"/>
  <c r="E40" i="4" l="1"/>
  <c r="F40" i="4"/>
  <c r="F47" i="3"/>
  <c r="O9" i="3" s="1"/>
  <c r="O10" i="3" s="1"/>
  <c r="M9" i="3"/>
  <c r="M10" i="3" s="1"/>
  <c r="H47" i="3"/>
  <c r="L9" i="3" s="1"/>
  <c r="L10" i="3" s="1"/>
  <c r="E47" i="3"/>
  <c r="D40" i="4" l="1"/>
  <c r="G41" i="4" s="1"/>
  <c r="D47" i="3"/>
  <c r="P9" i="3" s="1"/>
  <c r="P10" i="3" s="1"/>
  <c r="Q9" i="3"/>
  <c r="Q10" i="3" s="1"/>
  <c r="N10" i="3"/>
  <c r="H41" i="4" l="1"/>
  <c r="E41" i="4"/>
  <c r="F41" i="4"/>
  <c r="D41" i="4" l="1"/>
  <c r="G42" i="4" s="1"/>
  <c r="H42" i="4" s="1"/>
  <c r="E42" i="4" l="1"/>
  <c r="F42" i="4"/>
  <c r="D42" i="4" l="1"/>
  <c r="G43" i="4" s="1"/>
  <c r="H43" i="4" l="1"/>
  <c r="E43" i="4"/>
  <c r="F43" i="4"/>
  <c r="D43" i="4" l="1"/>
  <c r="G44" i="4" s="1"/>
  <c r="H44" i="4" s="1"/>
  <c r="E44" i="4" l="1"/>
  <c r="F44" i="4"/>
  <c r="D44" i="4" l="1"/>
  <c r="G45" i="4" s="1"/>
  <c r="H45" i="4" l="1"/>
  <c r="E45" i="4"/>
  <c r="F45" i="4"/>
  <c r="D45" i="4" l="1"/>
  <c r="G46" i="4" s="1"/>
  <c r="H46" i="4" s="1"/>
  <c r="E46" i="4" l="1"/>
  <c r="F46" i="4"/>
  <c r="D46" i="4" l="1"/>
  <c r="G47" i="4" s="1"/>
  <c r="H47" i="4" l="1"/>
  <c r="L9" i="4" s="1"/>
  <c r="L10" i="4" s="1"/>
  <c r="M9" i="4"/>
  <c r="M10" i="4" s="1"/>
  <c r="E47" i="4"/>
  <c r="F47" i="4"/>
  <c r="O9" i="4" s="1"/>
  <c r="O10" i="4" s="1"/>
  <c r="D47" i="4" l="1"/>
  <c r="P9" i="4" s="1"/>
  <c r="P10" i="4" s="1"/>
  <c r="N9" i="4"/>
  <c r="Q9" i="4" l="1"/>
  <c r="Q10" i="4" s="1"/>
  <c r="N10" i="4"/>
</calcChain>
</file>

<file path=xl/sharedStrings.xml><?xml version="1.0" encoding="utf-8"?>
<sst xmlns="http://schemas.openxmlformats.org/spreadsheetml/2006/main" count="138" uniqueCount="25">
  <si>
    <t>Steffan Boltzman</t>
  </si>
  <si>
    <t>Emissivity</t>
  </si>
  <si>
    <t>delta x (m)</t>
  </si>
  <si>
    <t>Height (m)</t>
  </si>
  <si>
    <t>Width (m)</t>
  </si>
  <si>
    <t>Length (m)</t>
  </si>
  <si>
    <t>Conductivity w/(K*m)</t>
  </si>
  <si>
    <t>Env Temp (K)</t>
  </si>
  <si>
    <t>Node</t>
  </si>
  <si>
    <t>Heat flux (W)</t>
  </si>
  <si>
    <t>Distance</t>
  </si>
  <si>
    <t>Temp (ºC)</t>
  </si>
  <si>
    <t>Temperature (K)</t>
  </si>
  <si>
    <t>Q (100% Ef) (W)</t>
  </si>
  <si>
    <t>T Centro (ºC)</t>
  </si>
  <si>
    <t>eff</t>
  </si>
  <si>
    <t>Q real (W)</t>
  </si>
  <si>
    <t>T Borde (ºC)</t>
  </si>
  <si>
    <t>Inter Temp (K)</t>
  </si>
  <si>
    <t>Emissivity (pannels)</t>
  </si>
  <si>
    <t>Q radiated (W)</t>
  </si>
  <si>
    <t>Q rad in (W)</t>
  </si>
  <si>
    <t>Q cond in (W)</t>
  </si>
  <si>
    <t>Emmisivity (efective Internal)</t>
  </si>
  <si>
    <t>Temp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</si>
</sst>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166" fontId="0" fillId="0" borderId="1" xfId="0" applyNumberFormat="1" applyBorder="1"/>
    <xf numFmtId="2" fontId="0" fillId="0" borderId="1" xfId="0" applyNumberFormat="1" applyBorder="1"/>
    <xf numFmtId="43" fontId="0" fillId="0" borderId="1" xfId="1" applyFont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0" borderId="8" xfId="0" applyBorder="1"/>
    <xf numFmtId="164" fontId="0" fillId="0" borderId="9" xfId="2" applyNumberFormat="1" applyFont="1" applyBorder="1"/>
    <xf numFmtId="164" fontId="0" fillId="0" borderId="9" xfId="0" applyNumberFormat="1" applyBorder="1"/>
    <xf numFmtId="166" fontId="0" fillId="0" borderId="6" xfId="0" applyNumberFormat="1" applyBorder="1"/>
    <xf numFmtId="43" fontId="0" fillId="0" borderId="6" xfId="1" applyFont="1" applyBorder="1"/>
    <xf numFmtId="164" fontId="0" fillId="0" borderId="7" xfId="2" applyNumberFormat="1" applyFont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9" xfId="0" applyBorder="1"/>
    <xf numFmtId="165" fontId="0" fillId="0" borderId="1" xfId="0" applyNumberFormat="1" applyBorder="1"/>
    <xf numFmtId="165" fontId="0" fillId="0" borderId="6" xfId="0" applyNumberFormat="1" applyBorder="1"/>
    <xf numFmtId="2" fontId="0" fillId="0" borderId="9" xfId="0" applyNumberFormat="1" applyBorder="1"/>
    <xf numFmtId="2" fontId="0" fillId="0" borderId="6" xfId="0" applyNumberFormat="1" applyBorder="1"/>
    <xf numFmtId="2" fontId="0" fillId="0" borderId="7" xfId="0" applyNumberFormat="1" applyBorder="1"/>
    <xf numFmtId="166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Propiedades del panel VS Temperatura de borde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Calor disipado (W)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'Sin radiacción interna (2)'!$J$11:$J$26</c:f>
              <c:numCache>
                <c:formatCode>0.000</c:formatCode>
                <c:ptCount val="16"/>
                <c:pt idx="0">
                  <c:v>18.155931196586948</c:v>
                </c:pt>
                <c:pt idx="1">
                  <c:v>23.508953836981732</c:v>
                </c:pt>
                <c:pt idx="2">
                  <c:v>28.960034315832445</c:v>
                </c:pt>
                <c:pt idx="3">
                  <c:v>34.511066025684897</c:v>
                </c:pt>
                <c:pt idx="4">
                  <c:v>40.163960464679008</c:v>
                </c:pt>
                <c:pt idx="5">
                  <c:v>45.920647236549598</c:v>
                </c:pt>
                <c:pt idx="6">
                  <c:v>51.783074050625828</c:v>
                </c:pt>
                <c:pt idx="7">
                  <c:v>57.753206721831134</c:v>
                </c:pt>
                <c:pt idx="8">
                  <c:v>63.833029170683972</c:v>
                </c:pt>
                <c:pt idx="9">
                  <c:v>70.024543423296848</c:v>
                </c:pt>
                <c:pt idx="10">
                  <c:v>76.329769611377003</c:v>
                </c:pt>
                <c:pt idx="11">
                  <c:v>82.750745972226184</c:v>
                </c:pt>
                <c:pt idx="12">
                  <c:v>89.289528848740588</c:v>
                </c:pt>
                <c:pt idx="13">
                  <c:v>95.94819268941086</c:v>
                </c:pt>
                <c:pt idx="14">
                  <c:v>102.72883004832221</c:v>
                </c:pt>
                <c:pt idx="15">
                  <c:v>109.63355158515441</c:v>
                </c:pt>
              </c:numCache>
            </c:numRef>
          </c:xVal>
          <c:yVal>
            <c:numRef>
              <c:f>'Sin radiacción interna (2)'!$L$11:$L$26</c:f>
              <c:numCache>
                <c:formatCode>_(* #,##0.00_);_(* \(#,##0.00\);_(* "-"??_);_(@_)</c:formatCode>
                <c:ptCount val="16"/>
                <c:pt idx="0">
                  <c:v>0.8124854286355041</c:v>
                </c:pt>
                <c:pt idx="1">
                  <c:v>0.84998301014101241</c:v>
                </c:pt>
                <c:pt idx="2">
                  <c:v>0.88901947802700987</c:v>
                </c:pt>
                <c:pt idx="3">
                  <c:v>0.92965709865297808</c:v>
                </c:pt>
                <c:pt idx="4">
                  <c:v>0.97196095635393964</c:v>
                </c:pt>
                <c:pt idx="5">
                  <c:v>1.0159990966382246</c:v>
                </c:pt>
                <c:pt idx="6">
                  <c:v>1.0618426768885527</c:v>
                </c:pt>
                <c:pt idx="7">
                  <c:v>1.1095661249550495</c:v>
                </c:pt>
                <c:pt idx="8">
                  <c:v>1.15924730604846</c:v>
                </c:pt>
                <c:pt idx="9">
                  <c:v>1.210967698362392</c:v>
                </c:pt>
                <c:pt idx="10">
                  <c:v>1.2648125778750492</c:v>
                </c:pt>
                <c:pt idx="11">
                  <c:v>1.3208712128034994</c:v>
                </c:pt>
                <c:pt idx="12">
                  <c:v>1.3792370682072868</c:v>
                </c:pt>
                <c:pt idx="13">
                  <c:v>1.4400080212630308</c:v>
                </c:pt>
                <c:pt idx="14">
                  <c:v>1.503286587757712</c:v>
                </c:pt>
                <c:pt idx="15">
                  <c:v>1.5691801603756537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68-443C-9F20-7902E1136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00816"/>
        <c:axId val="1498399376"/>
      </c:scatterChart>
      <c:scatterChart>
        <c:scatterStyle val="lineMarker"/>
        <c:varyColors val="0"/>
        <c:ser>
          <c:idx val="0"/>
          <c:order val="0"/>
          <c:tx>
            <c:v>Eficiencia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 radiacción interna (2)'!$J$11:$J$26</c:f>
              <c:numCache>
                <c:formatCode>0.000</c:formatCode>
                <c:ptCount val="16"/>
                <c:pt idx="0">
                  <c:v>18.155931196586948</c:v>
                </c:pt>
                <c:pt idx="1">
                  <c:v>23.508953836981732</c:v>
                </c:pt>
                <c:pt idx="2">
                  <c:v>28.960034315832445</c:v>
                </c:pt>
                <c:pt idx="3">
                  <c:v>34.511066025684897</c:v>
                </c:pt>
                <c:pt idx="4">
                  <c:v>40.163960464679008</c:v>
                </c:pt>
                <c:pt idx="5">
                  <c:v>45.920647236549598</c:v>
                </c:pt>
                <c:pt idx="6">
                  <c:v>51.783074050625828</c:v>
                </c:pt>
                <c:pt idx="7">
                  <c:v>57.753206721831134</c:v>
                </c:pt>
                <c:pt idx="8">
                  <c:v>63.833029170683972</c:v>
                </c:pt>
                <c:pt idx="9">
                  <c:v>70.024543423296848</c:v>
                </c:pt>
                <c:pt idx="10">
                  <c:v>76.329769611377003</c:v>
                </c:pt>
                <c:pt idx="11">
                  <c:v>82.750745972226184</c:v>
                </c:pt>
                <c:pt idx="12">
                  <c:v>89.289528848740588</c:v>
                </c:pt>
                <c:pt idx="13">
                  <c:v>95.94819268941086</c:v>
                </c:pt>
                <c:pt idx="14">
                  <c:v>102.72883004832221</c:v>
                </c:pt>
                <c:pt idx="15">
                  <c:v>109.63355158515441</c:v>
                </c:pt>
              </c:numCache>
            </c:numRef>
          </c:xVal>
          <c:yVal>
            <c:numRef>
              <c:f>'Sin radiacción interna (2)'!$M$11:$M$26</c:f>
              <c:numCache>
                <c:formatCode>0.0%</c:formatCode>
                <c:ptCount val="16"/>
                <c:pt idx="0">
                  <c:v>0.30726335522015508</c:v>
                </c:pt>
                <c:pt idx="1">
                  <c:v>0.29886351353229473</c:v>
                </c:pt>
                <c:pt idx="2">
                  <c:v>0.29063182662090475</c:v>
                </c:pt>
                <c:pt idx="3">
                  <c:v>0.28256939614396648</c:v>
                </c:pt>
                <c:pt idx="4">
                  <c:v>0.27467702169285729</c:v>
                </c:pt>
                <c:pt idx="5">
                  <c:v>0.26695521164526359</c:v>
                </c:pt>
                <c:pt idx="6">
                  <c:v>0.25940419449974916</c:v>
                </c:pt>
                <c:pt idx="7">
                  <c:v>0.25202393061542167</c:v>
                </c:pt>
                <c:pt idx="8">
                  <c:v>0.24481412428222679</c:v>
                </c:pt>
                <c:pt idx="9">
                  <c:v>0.2377742360498758</c:v>
                </c:pt>
                <c:pt idx="10">
                  <c:v>0.2309034952462258</c:v>
                </c:pt>
                <c:pt idx="11">
                  <c:v>0.22420091261905287</c:v>
                </c:pt>
                <c:pt idx="12">
                  <c:v>0.21766529303853094</c:v>
                </c:pt>
                <c:pt idx="13">
                  <c:v>0.21129524820129897</c:v>
                </c:pt>
                <c:pt idx="14">
                  <c:v>0.20508920928074159</c:v>
                </c:pt>
                <c:pt idx="15">
                  <c:v>0.19904543947196487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68-443C-9F20-7902E1136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03248"/>
        <c:axId val="1953738752"/>
      </c:scatterChart>
      <c:valAx>
        <c:axId val="14984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Temperatura de borde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399376"/>
        <c:crosses val="autoZero"/>
        <c:crossBetween val="midCat"/>
      </c:valAx>
      <c:valAx>
        <c:axId val="149839937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400816"/>
        <c:crosses val="autoZero"/>
        <c:crossBetween val="midCat"/>
      </c:valAx>
      <c:valAx>
        <c:axId val="1953738752"/>
        <c:scaling>
          <c:orientation val="minMax"/>
          <c:min val="0.2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0003248"/>
        <c:crosses val="max"/>
        <c:crossBetween val="midCat"/>
      </c:valAx>
      <c:valAx>
        <c:axId val="115000324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19537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Propiedades del panel VS Temperatura de borde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Calor disipado (W)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'Sin radiacción interna'!$J$11:$J$26</c:f>
              <c:numCache>
                <c:formatCode>0.000</c:formatCode>
                <c:ptCount val="16"/>
                <c:pt idx="0">
                  <c:v>17.142273827887891</c:v>
                </c:pt>
                <c:pt idx="1">
                  <c:v>21.251190834248916</c:v>
                </c:pt>
                <c:pt idx="2">
                  <c:v>25.452931852634833</c:v>
                </c:pt>
                <c:pt idx="3">
                  <c:v>29.750926186158324</c:v>
                </c:pt>
                <c:pt idx="4">
                  <c:v>34.148775391251149</c:v>
                </c:pt>
                <c:pt idx="5">
                  <c:v>38.650264430812399</c:v>
                </c:pt>
                <c:pt idx="6">
                  <c:v>43.259373704763163</c:v>
                </c:pt>
                <c:pt idx="7">
                  <c:v>47.980292039373808</c:v>
                </c:pt>
                <c:pt idx="8">
                  <c:v>52.817430725427073</c:v>
                </c:pt>
                <c:pt idx="9">
                  <c:v>57.775438705061958</c:v>
                </c:pt>
                <c:pt idx="10">
                  <c:v>62.859219018097406</c:v>
                </c:pt>
                <c:pt idx="11">
                  <c:v>68.073946630990008</c:v>
                </c:pt>
                <c:pt idx="12">
                  <c:v>73.42508778547284</c:v>
                </c:pt>
                <c:pt idx="13">
                  <c:v>78.91842101961214</c:v>
                </c:pt>
                <c:pt idx="14">
                  <c:v>84.560060031735645</c:v>
                </c:pt>
                <c:pt idx="15">
                  <c:v>90.356478577761607</c:v>
                </c:pt>
              </c:numCache>
            </c:numRef>
          </c:xVal>
          <c:yVal>
            <c:numRef>
              <c:f>'Sin radiacción interna'!$L$11:$L$26</c:f>
              <c:numCache>
                <c:formatCode>_(* #,##0.00_);_(* \(#,##0.00\);_(* "-"??_);_(@_)</c:formatCode>
                <c:ptCount val="16"/>
                <c:pt idx="0">
                  <c:v>0.83872719594259437</c:v>
                </c:pt>
                <c:pt idx="1">
                  <c:v>0.8705015613044248</c:v>
                </c:pt>
                <c:pt idx="2">
                  <c:v>0.90367239721104387</c:v>
                </c:pt>
                <c:pt idx="3">
                  <c:v>0.93831693950326067</c:v>
                </c:pt>
                <c:pt idx="4">
                  <c:v>0.97451776013510805</c:v>
                </c:pt>
                <c:pt idx="5">
                  <c:v>1.012363210684559</c:v>
                </c:pt>
                <c:pt idx="6">
                  <c:v>1.0519479090408765</c:v>
                </c:pt>
                <c:pt idx="7">
                  <c:v>1.0933732741019264</c:v>
                </c:pt>
                <c:pt idx="8">
                  <c:v>1.136748113927859</c:v>
                </c:pt>
                <c:pt idx="9">
                  <c:v>1.1821892734979711</c:v>
                </c:pt>
                <c:pt idx="10">
                  <c:v>1.2298223490185292</c:v>
                </c:pt>
                <c:pt idx="11">
                  <c:v>1.2797824766476615</c:v>
                </c:pt>
                <c:pt idx="12">
                  <c:v>1.3322152045573368</c:v>
                </c:pt>
                <c:pt idx="13">
                  <c:v>1.3872774584649081</c:v>
                </c:pt>
                <c:pt idx="14">
                  <c:v>1.4451386121636078</c:v>
                </c:pt>
                <c:pt idx="15">
                  <c:v>1.5059816761943687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363-4E14-9B6B-97DC187D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00816"/>
        <c:axId val="1498399376"/>
      </c:scatterChart>
      <c:scatterChart>
        <c:scatterStyle val="lineMarker"/>
        <c:varyColors val="0"/>
        <c:ser>
          <c:idx val="0"/>
          <c:order val="0"/>
          <c:tx>
            <c:v>Eficiencia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 radiacción interna'!$J$11:$J$26</c:f>
              <c:numCache>
                <c:formatCode>0.000</c:formatCode>
                <c:ptCount val="16"/>
                <c:pt idx="0">
                  <c:v>17.142273827887891</c:v>
                </c:pt>
                <c:pt idx="1">
                  <c:v>21.251190834248916</c:v>
                </c:pt>
                <c:pt idx="2">
                  <c:v>25.452931852634833</c:v>
                </c:pt>
                <c:pt idx="3">
                  <c:v>29.750926186158324</c:v>
                </c:pt>
                <c:pt idx="4">
                  <c:v>34.148775391251149</c:v>
                </c:pt>
                <c:pt idx="5">
                  <c:v>38.650264430812399</c:v>
                </c:pt>
                <c:pt idx="6">
                  <c:v>43.259373704763163</c:v>
                </c:pt>
                <c:pt idx="7">
                  <c:v>47.980292039373808</c:v>
                </c:pt>
                <c:pt idx="8">
                  <c:v>52.817430725427073</c:v>
                </c:pt>
                <c:pt idx="9">
                  <c:v>57.775438705061958</c:v>
                </c:pt>
                <c:pt idx="10">
                  <c:v>62.859219018097406</c:v>
                </c:pt>
                <c:pt idx="11">
                  <c:v>68.073946630990008</c:v>
                </c:pt>
                <c:pt idx="12">
                  <c:v>73.42508778547284</c:v>
                </c:pt>
                <c:pt idx="13">
                  <c:v>78.91842101961214</c:v>
                </c:pt>
                <c:pt idx="14">
                  <c:v>84.560060031735645</c:v>
                </c:pt>
                <c:pt idx="15">
                  <c:v>90.356478577761607</c:v>
                </c:pt>
              </c:numCache>
            </c:numRef>
          </c:xVal>
          <c:yVal>
            <c:numRef>
              <c:f>'Sin radiacción interna'!$M$11:$M$26</c:f>
              <c:numCache>
                <c:formatCode>0.0%</c:formatCode>
                <c:ptCount val="16"/>
                <c:pt idx="0">
                  <c:v>0.32164093315757303</c:v>
                </c:pt>
                <c:pt idx="1">
                  <c:v>0.31557587963936384</c:v>
                </c:pt>
                <c:pt idx="2">
                  <c:v>0.30954745869248279</c:v>
                </c:pt>
                <c:pt idx="3">
                  <c:v>0.30355657746462289</c:v>
                </c:pt>
                <c:pt idx="4">
                  <c:v>0.29760411767848449</c:v>
                </c:pt>
                <c:pt idx="5">
                  <c:v>0.29169093552716985</c:v>
                </c:pt>
                <c:pt idx="6">
                  <c:v>0.28581786160732259</c:v>
                </c:pt>
                <c:pt idx="7">
                  <c:v>0.27998570089061148</c:v>
                </c:pt>
                <c:pt idx="8">
                  <c:v>0.27419523273420032</c:v>
                </c:pt>
                <c:pt idx="9">
                  <c:v>0.26844721093086249</c:v>
                </c:pt>
                <c:pt idx="10">
                  <c:v>0.26274236379945148</c:v>
                </c:pt>
                <c:pt idx="11">
                  <c:v>0.2570813943164838</c:v>
                </c:pt>
                <c:pt idx="12">
                  <c:v>0.25146498028964193</c:v>
                </c:pt>
                <c:pt idx="13">
                  <c:v>0.24589377457408185</c:v>
                </c:pt>
                <c:pt idx="14">
                  <c:v>0.24036840533251141</c:v>
                </c:pt>
                <c:pt idx="15">
                  <c:v>0.23488947634007679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363-4E14-9B6B-97DC187DC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03248"/>
        <c:axId val="1953738752"/>
      </c:scatterChart>
      <c:valAx>
        <c:axId val="14984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Temperatura de borde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399376"/>
        <c:crosses val="autoZero"/>
        <c:crossBetween val="midCat"/>
      </c:valAx>
      <c:valAx>
        <c:axId val="149839937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400816"/>
        <c:crosses val="autoZero"/>
        <c:crossBetween val="midCat"/>
      </c:valAx>
      <c:valAx>
        <c:axId val="1953738752"/>
        <c:scaling>
          <c:orientation val="minMax"/>
          <c:min val="0.2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0003248"/>
        <c:crosses val="max"/>
        <c:crossBetween val="midCat"/>
      </c:valAx>
      <c:valAx>
        <c:axId val="115000324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19537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Propiedades del panel VS Temperatura de borde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Calor disipado (W)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'Sin radiacción interna + Metal'!$J$11:$J$26</c:f>
              <c:numCache>
                <c:formatCode>0.000</c:formatCode>
                <c:ptCount val="16"/>
                <c:pt idx="0">
                  <c:v>28.591903303246056</c:v>
                </c:pt>
                <c:pt idx="1">
                  <c:v>35.856261817942595</c:v>
                </c:pt>
                <c:pt idx="2">
                  <c:v>43.26211824035687</c:v>
                </c:pt>
                <c:pt idx="3">
                  <c:v>50.81662838606735</c:v>
                </c:pt>
                <c:pt idx="4">
                  <c:v>58.527305414841408</c:v>
                </c:pt>
                <c:pt idx="5">
                  <c:v>66.402044305890286</c:v>
                </c:pt>
                <c:pt idx="6">
                  <c:v>74.449148528969602</c:v>
                </c:pt>
                <c:pt idx="7">
                  <c:v>82.677359139302666</c:v>
                </c:pt>
                <c:pt idx="8">
                  <c:v>91.095886551979163</c:v>
                </c:pt>
                <c:pt idx="9">
                  <c:v>99.714445282991221</c:v>
                </c:pt>
                <c:pt idx="10">
                  <c:v>108.54329197999266</c:v>
                </c:pt>
                <c:pt idx="11">
                  <c:v>117.59326710694319</c:v>
                </c:pt>
                <c:pt idx="12">
                  <c:v>126.87584069379102</c:v>
                </c:pt>
                <c:pt idx="13">
                  <c:v>136.40316261631381</c:v>
                </c:pt>
                <c:pt idx="14">
                  <c:v>146.18811793323516</c:v>
                </c:pt>
                <c:pt idx="15">
                  <c:v>156.24438787922963</c:v>
                </c:pt>
              </c:numCache>
            </c:numRef>
          </c:xVal>
          <c:yVal>
            <c:numRef>
              <c:f>'Sin radiacción interna + Metal'!$L$11:$L$26</c:f>
              <c:numCache>
                <c:formatCode>_(* #,##0.00_);_(* \(#,##0.00\);_(* "-"??_);_(@_)</c:formatCode>
                <c:ptCount val="16"/>
                <c:pt idx="0">
                  <c:v>2.3329840331408613</c:v>
                </c:pt>
                <c:pt idx="1">
                  <c:v>2.5283565383559155</c:v>
                </c:pt>
                <c:pt idx="2">
                  <c:v>2.7374913770799489</c:v>
                </c:pt>
                <c:pt idx="3">
                  <c:v>2.9612829853538054</c:v>
                </c:pt>
                <c:pt idx="4">
                  <c:v>3.2006912956623177</c:v>
                </c:pt>
                <c:pt idx="5">
                  <c:v>3.4567478113093983</c:v>
                </c:pt>
                <c:pt idx="6">
                  <c:v>3.7305623485440345</c:v>
                </c:pt>
                <c:pt idx="7">
                  <c:v>4.0233305303927995</c:v>
                </c:pt>
                <c:pt idx="8">
                  <c:v>4.3363421281686438</c:v>
                </c:pt>
                <c:pt idx="9">
                  <c:v>4.6709903605696983</c:v>
                </c:pt>
                <c:pt idx="10">
                  <c:v>5.0287822765006363</c:v>
                </c:pt>
                <c:pt idx="11">
                  <c:v>5.4113503666572873</c:v>
                </c:pt>
                <c:pt idx="12">
                  <c:v>5.8204655710076381</c:v>
                </c:pt>
                <c:pt idx="13">
                  <c:v>6.2580518751797918</c:v>
                </c:pt>
                <c:pt idx="14">
                  <c:v>6.7262027191496339</c:v>
                </c:pt>
                <c:pt idx="15">
                  <c:v>7.2271994773861907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4-4844-9D0C-2C983F2A3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00816"/>
        <c:axId val="1498399376"/>
      </c:scatterChart>
      <c:scatterChart>
        <c:scatterStyle val="lineMarker"/>
        <c:varyColors val="0"/>
        <c:ser>
          <c:idx val="0"/>
          <c:order val="0"/>
          <c:tx>
            <c:v>Eficiencia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 radiacción interna + Metal'!$J$11:$J$26</c:f>
              <c:numCache>
                <c:formatCode>0.000</c:formatCode>
                <c:ptCount val="16"/>
                <c:pt idx="0">
                  <c:v>28.591903303246056</c:v>
                </c:pt>
                <c:pt idx="1">
                  <c:v>35.856261817942595</c:v>
                </c:pt>
                <c:pt idx="2">
                  <c:v>43.26211824035687</c:v>
                </c:pt>
                <c:pt idx="3">
                  <c:v>50.81662838606735</c:v>
                </c:pt>
                <c:pt idx="4">
                  <c:v>58.527305414841408</c:v>
                </c:pt>
                <c:pt idx="5">
                  <c:v>66.402044305890286</c:v>
                </c:pt>
                <c:pt idx="6">
                  <c:v>74.449148528969602</c:v>
                </c:pt>
                <c:pt idx="7">
                  <c:v>82.677359139302666</c:v>
                </c:pt>
                <c:pt idx="8">
                  <c:v>91.095886551979163</c:v>
                </c:pt>
                <c:pt idx="9">
                  <c:v>99.714445282991221</c:v>
                </c:pt>
                <c:pt idx="10">
                  <c:v>108.54329197999266</c:v>
                </c:pt>
                <c:pt idx="11">
                  <c:v>117.59326710694319</c:v>
                </c:pt>
                <c:pt idx="12">
                  <c:v>126.87584069379102</c:v>
                </c:pt>
                <c:pt idx="13">
                  <c:v>136.40316261631381</c:v>
                </c:pt>
                <c:pt idx="14">
                  <c:v>146.18811793323516</c:v>
                </c:pt>
                <c:pt idx="15">
                  <c:v>156.24438787922963</c:v>
                </c:pt>
              </c:numCache>
            </c:numRef>
          </c:xVal>
          <c:yVal>
            <c:numRef>
              <c:f>'Sin radiacción interna + Metal'!$M$11:$M$26</c:f>
              <c:numCache>
                <c:formatCode>0.0%</c:formatCode>
                <c:ptCount val="16"/>
                <c:pt idx="0">
                  <c:v>0.7664110556152437</c:v>
                </c:pt>
                <c:pt idx="1">
                  <c:v>0.75519949545578302</c:v>
                </c:pt>
                <c:pt idx="2">
                  <c:v>0.74376000792640917</c:v>
                </c:pt>
                <c:pt idx="3">
                  <c:v>0.73210150892008197</c:v>
                </c:pt>
                <c:pt idx="4">
                  <c:v>0.72023340012541059</c:v>
                </c:pt>
                <c:pt idx="5">
                  <c:v>0.70816554514651431</c:v>
                </c:pt>
                <c:pt idx="6">
                  <c:v>0.69590824373598803</c:v>
                </c:pt>
                <c:pt idx="7">
                  <c:v>0.68347220424209776</c:v>
                </c:pt>
                <c:pt idx="8">
                  <c:v>0.67086851438408279</c:v>
                </c:pt>
                <c:pt idx="9">
                  <c:v>0.65810861048155089</c:v>
                </c:pt>
                <c:pt idx="10">
                  <c:v>0.64520424527533748</c:v>
                </c:pt>
                <c:pt idx="11">
                  <c:v>0.63216745448764777</c:v>
                </c:pt>
                <c:pt idx="12">
                  <c:v>0.61901052227890818</c:v>
                </c:pt>
                <c:pt idx="13">
                  <c:v>0.60574594576714491</c:v>
                </c:pt>
                <c:pt idx="14">
                  <c:v>0.59238639878313037</c:v>
                </c:pt>
                <c:pt idx="15">
                  <c:v>0.57894469504062918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4-4844-9D0C-2C983F2A3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03248"/>
        <c:axId val="1953738752"/>
      </c:scatterChart>
      <c:valAx>
        <c:axId val="14984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Temperatura de borde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399376"/>
        <c:crosses val="autoZero"/>
        <c:crossBetween val="midCat"/>
      </c:valAx>
      <c:valAx>
        <c:axId val="1498399376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400816"/>
        <c:crosses val="autoZero"/>
        <c:crossBetween val="midCat"/>
      </c:valAx>
      <c:valAx>
        <c:axId val="1953738752"/>
        <c:scaling>
          <c:orientation val="minMax"/>
          <c:min val="0.2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0003248"/>
        <c:crosses val="max"/>
        <c:crossBetween val="midCat"/>
      </c:valAx>
      <c:valAx>
        <c:axId val="115000324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19537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Propiedades del panel VS Temperatura de borde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Calor disipado (W)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 radiacción interna'!$L$11:$L$26</c:f>
              <c:numCache>
                <c:formatCode>0.000</c:formatCode>
                <c:ptCount val="16"/>
                <c:pt idx="0">
                  <c:v>-10.825959535233835</c:v>
                </c:pt>
                <c:pt idx="1">
                  <c:v>-5.6415761188250144</c:v>
                </c:pt>
                <c:pt idx="2">
                  <c:v>-0.34345280836288339</c:v>
                </c:pt>
                <c:pt idx="3">
                  <c:v>5.0730158146750455</c:v>
                </c:pt>
                <c:pt idx="4">
                  <c:v>10.612699296948051</c:v>
                </c:pt>
                <c:pt idx="5">
                  <c:v>16.280750889540798</c:v>
                </c:pt>
                <c:pt idx="6">
                  <c:v>22.082628911067673</c:v>
                </c:pt>
                <c:pt idx="7">
                  <c:v>28.024120092112071</c:v>
                </c:pt>
                <c:pt idx="8">
                  <c:v>34.111365120130358</c:v>
                </c:pt>
                <c:pt idx="9">
                  <c:v>40.350886632268214</c:v>
                </c:pt>
                <c:pt idx="10">
                  <c:v>46.749619935903183</c:v>
                </c:pt>
                <c:pt idx="11">
                  <c:v>53.314946774093698</c:v>
                </c:pt>
                <c:pt idx="12">
                  <c:v>60.054732496027725</c:v>
                </c:pt>
                <c:pt idx="13">
                  <c:v>66.977367042341768</c:v>
                </c:pt>
                <c:pt idx="14">
                  <c:v>74.091810212613098</c:v>
                </c:pt>
                <c:pt idx="15">
                  <c:v>81.407641749165805</c:v>
                </c:pt>
              </c:numCache>
            </c:numRef>
          </c:xVal>
          <c:yVal>
            <c:numRef>
              <c:f>'Con radiacción interna'!$P$11:$P$26</c:f>
              <c:numCache>
                <c:formatCode>_(* #,##0.00_);_(* \(#,##0.00\);_(* "-"??_);_(@_)</c:formatCode>
                <c:ptCount val="16"/>
                <c:pt idx="0">
                  <c:v>9.0475199812703244E-2</c:v>
                </c:pt>
                <c:pt idx="1">
                  <c:v>0.12059189050949637</c:v>
                </c:pt>
                <c:pt idx="2">
                  <c:v>0.15208793118375186</c:v>
                </c:pt>
                <c:pt idx="3">
                  <c:v>0.18505233614408134</c:v>
                </c:pt>
                <c:pt idx="4">
                  <c:v>0.21958136118057225</c:v>
                </c:pt>
                <c:pt idx="5">
                  <c:v>0.25577921952890526</c:v>
                </c:pt>
                <c:pt idx="6">
                  <c:v>0.29375888174589571</c:v>
                </c:pt>
                <c:pt idx="7">
                  <c:v>0.33364297092634221</c:v>
                </c:pt>
                <c:pt idx="8">
                  <c:v>0.37556476647214487</c:v>
                </c:pt>
                <c:pt idx="9">
                  <c:v>0.41966933172039023</c:v>
                </c:pt>
                <c:pt idx="10">
                  <c:v>0.46611478320769456</c:v>
                </c:pt>
                <c:pt idx="11">
                  <c:v>0.51507372227062076</c:v>
                </c:pt>
                <c:pt idx="12">
                  <c:v>0.56673485314675465</c:v>
                </c:pt>
                <c:pt idx="13">
                  <c:v>0.62130481586339137</c:v>
                </c:pt>
                <c:pt idx="14">
                  <c:v>0.67901026711736745</c:v>
                </c:pt>
                <c:pt idx="15">
                  <c:v>0.74010024823472409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8-432B-BF34-CC9A77AC2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00816"/>
        <c:axId val="1498399376"/>
      </c:scatterChart>
      <c:scatterChart>
        <c:scatterStyle val="lineMarker"/>
        <c:varyColors val="0"/>
        <c:ser>
          <c:idx val="0"/>
          <c:order val="0"/>
          <c:tx>
            <c:v>Eficiencia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 radiacción interna'!$L$11:$L$26</c:f>
              <c:numCache>
                <c:formatCode>0.000</c:formatCode>
                <c:ptCount val="16"/>
                <c:pt idx="0">
                  <c:v>-10.825959535233835</c:v>
                </c:pt>
                <c:pt idx="1">
                  <c:v>-5.6415761188250144</c:v>
                </c:pt>
                <c:pt idx="2">
                  <c:v>-0.34345280836288339</c:v>
                </c:pt>
                <c:pt idx="3">
                  <c:v>5.0730158146750455</c:v>
                </c:pt>
                <c:pt idx="4">
                  <c:v>10.612699296948051</c:v>
                </c:pt>
                <c:pt idx="5">
                  <c:v>16.280750889540798</c:v>
                </c:pt>
                <c:pt idx="6">
                  <c:v>22.082628911067673</c:v>
                </c:pt>
                <c:pt idx="7">
                  <c:v>28.024120092112071</c:v>
                </c:pt>
                <c:pt idx="8">
                  <c:v>34.111365120130358</c:v>
                </c:pt>
                <c:pt idx="9">
                  <c:v>40.350886632268214</c:v>
                </c:pt>
                <c:pt idx="10">
                  <c:v>46.749619935903183</c:v>
                </c:pt>
                <c:pt idx="11">
                  <c:v>53.314946774093698</c:v>
                </c:pt>
                <c:pt idx="12">
                  <c:v>60.054732496027725</c:v>
                </c:pt>
                <c:pt idx="13">
                  <c:v>66.977367042341768</c:v>
                </c:pt>
                <c:pt idx="14">
                  <c:v>74.091810212613098</c:v>
                </c:pt>
                <c:pt idx="15">
                  <c:v>81.407641749165805</c:v>
                </c:pt>
              </c:numCache>
            </c:numRef>
          </c:xVal>
          <c:yVal>
            <c:numRef>
              <c:f>'Con radiacción interna'!$Q$11:$Q$26</c:f>
              <c:numCache>
                <c:formatCode>0.0%</c:formatCode>
                <c:ptCount val="16"/>
                <c:pt idx="0">
                  <c:v>0.83027802735317235</c:v>
                </c:pt>
                <c:pt idx="1">
                  <c:v>0.78531264504780085</c:v>
                </c:pt>
                <c:pt idx="2">
                  <c:v>0.7430318628832564</c:v>
                </c:pt>
                <c:pt idx="3">
                  <c:v>0.7032565675123833</c:v>
                </c:pt>
                <c:pt idx="4">
                  <c:v>0.66582092337547438</c:v>
                </c:pt>
                <c:pt idx="5">
                  <c:v>0.63057128128854878</c:v>
                </c:pt>
                <c:pt idx="6">
                  <c:v>0.59736518571380515</c:v>
                </c:pt>
                <c:pt idx="7">
                  <c:v>0.56607047097974761</c:v>
                </c:pt>
                <c:pt idx="8">
                  <c:v>0.53656443775887974</c:v>
                </c:pt>
                <c:pt idx="9">
                  <c:v>0.50873310203097832</c:v>
                </c:pt>
                <c:pt idx="10">
                  <c:v>0.48247050957598731</c:v>
                </c:pt>
                <c:pt idx="11">
                  <c:v>0.45767810976388057</c:v>
                </c:pt>
                <c:pt idx="12">
                  <c:v>0.4342641830519533</c:v>
                </c:pt>
                <c:pt idx="13">
                  <c:v>0.4121433171710937</c:v>
                </c:pt>
                <c:pt idx="14">
                  <c:v>0.39123592749177216</c:v>
                </c:pt>
                <c:pt idx="15">
                  <c:v>0.37146781751366176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08-432B-BF34-CC9A77AC2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03248"/>
        <c:axId val="1953738752"/>
      </c:scatterChart>
      <c:valAx>
        <c:axId val="14984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Temperatura de borde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399376"/>
        <c:crosses val="autoZero"/>
        <c:crossBetween val="midCat"/>
      </c:valAx>
      <c:valAx>
        <c:axId val="14983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400816"/>
        <c:crossesAt val="-20"/>
        <c:crossBetween val="midCat"/>
      </c:valAx>
      <c:valAx>
        <c:axId val="1953738752"/>
        <c:scaling>
          <c:orientation val="minMax"/>
          <c:min val="0.2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0003248"/>
        <c:crosses val="max"/>
        <c:crossBetween val="midCat"/>
      </c:valAx>
      <c:valAx>
        <c:axId val="115000324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19537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Propiedades del panel VS Temperatura de borde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Calor disipado (W)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 radiacción interna + Metal'!$L$11:$L$26</c:f>
              <c:numCache>
                <c:formatCode>0.000</c:formatCode>
                <c:ptCount val="16"/>
                <c:pt idx="0">
                  <c:v>18.975607708809434</c:v>
                </c:pt>
                <c:pt idx="1">
                  <c:v>28.329575798093742</c:v>
                </c:pt>
                <c:pt idx="2">
                  <c:v>37.99644532607914</c:v>
                </c:pt>
                <c:pt idx="3">
                  <c:v>47.997623204039428</c:v>
                </c:pt>
                <c:pt idx="4">
                  <c:v>58.356309413260135</c:v>
                </c:pt>
                <c:pt idx="5">
                  <c:v>69.097705083653011</c:v>
                </c:pt>
                <c:pt idx="6">
                  <c:v>80.249251066640227</c:v>
                </c:pt>
                <c:pt idx="7">
                  <c:v>91.84090237503159</c:v>
                </c:pt>
                <c:pt idx="8">
                  <c:v>103.90544498128884</c:v>
                </c:pt>
                <c:pt idx="9">
                  <c:v>116.47886285476147</c:v>
                </c:pt>
                <c:pt idx="10">
                  <c:v>129.60076485317973</c:v>
                </c:pt>
                <c:pt idx="11">
                  <c:v>143.31488326259017</c:v>
                </c:pt>
                <c:pt idx="12">
                  <c:v>157.66965853371045</c:v>
                </c:pt>
                <c:pt idx="13">
                  <c:v>172.71892826578579</c:v>
                </c:pt>
                <c:pt idx="14">
                  <c:v>188.5227429761141</c:v>
                </c:pt>
                <c:pt idx="15">
                  <c:v>205.14833698299151</c:v>
                </c:pt>
              </c:numCache>
            </c:numRef>
          </c:xVal>
          <c:yVal>
            <c:numRef>
              <c:f>'Con radiacción interna + Metal'!$P$11:$P$26</c:f>
              <c:numCache>
                <c:formatCode>_(* #,##0.00_);_(* \(#,##0.00\);_(* "-"??_);_(@_)</c:formatCode>
                <c:ptCount val="16"/>
                <c:pt idx="0">
                  <c:v>0.81826336541761946</c:v>
                </c:pt>
                <c:pt idx="1">
                  <c:v>1.0146008246885667</c:v>
                </c:pt>
                <c:pt idx="2">
                  <c:v>1.2285389732751077</c:v>
                </c:pt>
                <c:pt idx="3">
                  <c:v>1.4617893181727919</c:v>
                </c:pt>
                <c:pt idx="4">
                  <c:v>1.7162715211735504</c:v>
                </c:pt>
                <c:pt idx="5">
                  <c:v>1.9941451522039846</c:v>
                </c:pt>
                <c:pt idx="6">
                  <c:v>2.297847235593129</c:v>
                </c:pt>
                <c:pt idx="7">
                  <c:v>2.6301368280502402</c:v>
                </c:pt>
                <c:pt idx="8">
                  <c:v>2.9941481736545343</c:v>
                </c:pt>
                <c:pt idx="9">
                  <c:v>3.3934543744538948</c:v>
                </c:pt>
                <c:pt idx="10">
                  <c:v>3.8321440231886092</c:v>
                </c:pt>
                <c:pt idx="11">
                  <c:v>4.3149139051115633</c:v>
                </c:pt>
                <c:pt idx="12">
                  <c:v>4.84718174090328</c:v>
                </c:pt>
                <c:pt idx="13">
                  <c:v>5.4352240843301143</c:v>
                </c:pt>
                <c:pt idx="14">
                  <c:v>6.0863460072584994</c:v>
                </c:pt>
                <c:pt idx="15">
                  <c:v>6.8090912430317809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A3-45F9-86BD-159A04FDC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400816"/>
        <c:axId val="1498399376"/>
      </c:scatterChart>
      <c:scatterChart>
        <c:scatterStyle val="lineMarker"/>
        <c:varyColors val="0"/>
        <c:ser>
          <c:idx val="0"/>
          <c:order val="0"/>
          <c:tx>
            <c:v>Eficiencia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 radiacción interna + Metal'!$L$11:$L$26</c:f>
              <c:numCache>
                <c:formatCode>0.000</c:formatCode>
                <c:ptCount val="16"/>
                <c:pt idx="0">
                  <c:v>18.975607708809434</c:v>
                </c:pt>
                <c:pt idx="1">
                  <c:v>28.329575798093742</c:v>
                </c:pt>
                <c:pt idx="2">
                  <c:v>37.99644532607914</c:v>
                </c:pt>
                <c:pt idx="3">
                  <c:v>47.997623204039428</c:v>
                </c:pt>
                <c:pt idx="4">
                  <c:v>58.356309413260135</c:v>
                </c:pt>
                <c:pt idx="5">
                  <c:v>69.097705083653011</c:v>
                </c:pt>
                <c:pt idx="6">
                  <c:v>80.249251066640227</c:v>
                </c:pt>
                <c:pt idx="7">
                  <c:v>91.84090237503159</c:v>
                </c:pt>
                <c:pt idx="8">
                  <c:v>103.90544498128884</c:v>
                </c:pt>
                <c:pt idx="9">
                  <c:v>116.47886285476147</c:v>
                </c:pt>
                <c:pt idx="10">
                  <c:v>129.60076485317973</c:v>
                </c:pt>
                <c:pt idx="11">
                  <c:v>143.31488326259017</c:v>
                </c:pt>
                <c:pt idx="12">
                  <c:v>157.66965853371045</c:v>
                </c:pt>
                <c:pt idx="13">
                  <c:v>172.71892826578579</c:v>
                </c:pt>
                <c:pt idx="14">
                  <c:v>188.5227429761141</c:v>
                </c:pt>
                <c:pt idx="15">
                  <c:v>205.14833698299151</c:v>
                </c:pt>
              </c:numCache>
            </c:numRef>
          </c:xVal>
          <c:yVal>
            <c:numRef>
              <c:f>'Con radiacción interna + Metal'!$Q$11:$Q$26</c:f>
              <c:numCache>
                <c:formatCode>0.0%</c:formatCode>
                <c:ptCount val="16"/>
                <c:pt idx="0">
                  <c:v>0.83813407492043579</c:v>
                </c:pt>
                <c:pt idx="1">
                  <c:v>0.80978726866372397</c:v>
                </c:pt>
                <c:pt idx="2">
                  <c:v>0.78186728961354568</c:v>
                </c:pt>
                <c:pt idx="3">
                  <c:v>0.75437055841809997</c:v>
                </c:pt>
                <c:pt idx="4">
                  <c:v>0.7272957450935128</c:v>
                </c:pt>
                <c:pt idx="5">
                  <c:v>0.70064340643118872</c:v>
                </c:pt>
                <c:pt idx="6">
                  <c:v>0.6744156575624991</c:v>
                </c:pt>
                <c:pt idx="7">
                  <c:v>0.64861587394773668</c:v>
                </c:pt>
                <c:pt idx="8">
                  <c:v>0.62324842071226538</c:v>
                </c:pt>
                <c:pt idx="9">
                  <c:v>0.59831840678558434</c:v>
                </c:pt>
                <c:pt idx="10">
                  <c:v>0.57383146173108379</c:v>
                </c:pt>
                <c:pt idx="11">
                  <c:v>0.549793533503944</c:v>
                </c:pt>
                <c:pt idx="12">
                  <c:v>0.52621070565679517</c:v>
                </c:pt>
                <c:pt idx="13">
                  <c:v>0.50308903274005967</c:v>
                </c:pt>
                <c:pt idx="14">
                  <c:v>0.48043439282679345</c:v>
                </c:pt>
                <c:pt idx="15">
                  <c:v>0.45825235623937033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A3-45F9-86BD-159A04FDC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03248"/>
        <c:axId val="1953738752"/>
      </c:scatterChart>
      <c:valAx>
        <c:axId val="149840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Temperatura de borde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399376"/>
        <c:crosses val="autoZero"/>
        <c:crossBetween val="midCat"/>
      </c:valAx>
      <c:valAx>
        <c:axId val="14983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98400816"/>
        <c:crossesAt val="-20"/>
        <c:crossBetween val="midCat"/>
      </c:valAx>
      <c:valAx>
        <c:axId val="1953738752"/>
        <c:scaling>
          <c:orientation val="minMax"/>
          <c:min val="0.2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0003248"/>
        <c:crosses val="max"/>
        <c:crossBetween val="midCat"/>
      </c:valAx>
      <c:valAx>
        <c:axId val="1150003248"/>
        <c:scaling>
          <c:orientation val="minMax"/>
        </c:scaling>
        <c:delete val="1"/>
        <c:axPos val="b"/>
        <c:numFmt formatCode="0.000" sourceLinked="1"/>
        <c:majorTickMark val="none"/>
        <c:minorTickMark val="none"/>
        <c:tickLblPos val="nextTo"/>
        <c:crossAx val="195373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503360</xdr:colOff>
      <xdr:row>6</xdr:row>
      <xdr:rowOff>37245</xdr:rowOff>
    </xdr:from>
    <xdr:to>
      <xdr:col>21</xdr:col>
      <xdr:colOff>198439</xdr:colOff>
      <xdr:row>25</xdr:row>
      <xdr:rowOff>192820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9BF2BC-D2F5-4DBC-9665-A71ECC5FE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503360</xdr:colOff>
      <xdr:row>6</xdr:row>
      <xdr:rowOff>37245</xdr:rowOff>
    </xdr:from>
    <xdr:to>
      <xdr:col>21</xdr:col>
      <xdr:colOff>198439</xdr:colOff>
      <xdr:row>25</xdr:row>
      <xdr:rowOff>192820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4BD06D-39AA-D1CB-E528-9D2EB3990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503360</xdr:colOff>
      <xdr:row>6</xdr:row>
      <xdr:rowOff>37245</xdr:rowOff>
    </xdr:from>
    <xdr:to>
      <xdr:col>21</xdr:col>
      <xdr:colOff>198439</xdr:colOff>
      <xdr:row>25</xdr:row>
      <xdr:rowOff>192820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2D0313-FC9E-40ED-94AC-4B5CE42B1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81663</xdr:colOff>
      <xdr:row>28</xdr:row>
      <xdr:rowOff>17331</xdr:rowOff>
    </xdr:from>
    <xdr:to>
      <xdr:col>16</xdr:col>
      <xdr:colOff>753054</xdr:colOff>
      <xdr:row>47</xdr:row>
      <xdr:rowOff>173772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EDF0F1-C9D6-4F2D-97FC-44F2CDEB0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81663</xdr:colOff>
      <xdr:row>28</xdr:row>
      <xdr:rowOff>17331</xdr:rowOff>
    </xdr:from>
    <xdr:to>
      <xdr:col>16</xdr:col>
      <xdr:colOff>753054</xdr:colOff>
      <xdr:row>47</xdr:row>
      <xdr:rowOff>173772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D8EEC0-C529-4E16-B0C3-0AA82D0EA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Transmisión de listas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8A7E-AE86-47A9-A34D-EA0141F75AF5}">
  <dimension ref="B3:Q47"/>
  <sheetViews>
    <sheetView zoomScale="120" zoomScaleNormal="120" workbookViewId="0">
      <selection activeCell="O6" sqref="O6"/>
    </sheetView>
  </sheetViews>
  <sheetFormatPr baseColWidth="10" defaultColWidth="9.140625" defaultRowHeight="15" x14ac:dyDescent="0.25"/>
  <cols>
    <col min="3" max="3" width="12.7109375" bestFit="1" customWidth="1"/>
    <col min="4" max="4" width="12.5703125" bestFit="1" customWidth="1"/>
    <col min="5" max="5" width="15.5703125" bestFit="1" customWidth="1"/>
    <col min="6" max="6" width="10.7109375" customWidth="1"/>
    <col min="8" max="8" width="10.28515625" customWidth="1"/>
    <col min="9" max="9" width="12.28515625" bestFit="1" customWidth="1"/>
    <col min="10" max="10" width="11.5703125" bestFit="1" customWidth="1"/>
    <col min="11" max="11" width="14.7109375" bestFit="1" customWidth="1"/>
    <col min="12" max="12" width="10" bestFit="1" customWidth="1"/>
    <col min="13" max="13" width="16.28515625" bestFit="1" customWidth="1"/>
    <col min="14" max="14" width="10.140625" customWidth="1"/>
    <col min="15" max="15" width="19.85546875" customWidth="1"/>
    <col min="16" max="16" width="10.42578125" customWidth="1"/>
    <col min="17" max="17" width="12.5703125" bestFit="1" customWidth="1"/>
  </cols>
  <sheetData>
    <row r="3" spans="2:17" ht="15.75" thickBot="1" x14ac:dyDescent="0.3"/>
    <row r="4" spans="2:17" x14ac:dyDescent="0.25">
      <c r="I4" s="5" t="s">
        <v>5</v>
      </c>
      <c r="J4" s="6" t="s">
        <v>4</v>
      </c>
      <c r="K4" s="7" t="s">
        <v>3</v>
      </c>
      <c r="M4" s="11" t="s">
        <v>0</v>
      </c>
      <c r="N4" s="12" t="s">
        <v>1</v>
      </c>
      <c r="O4" s="12" t="s">
        <v>6</v>
      </c>
      <c r="P4" s="12" t="s">
        <v>2</v>
      </c>
      <c r="Q4" s="13" t="s">
        <v>7</v>
      </c>
    </row>
    <row r="5" spans="2:17" ht="15.75" thickBot="1" x14ac:dyDescent="0.3">
      <c r="I5" s="8">
        <v>9.8000000000000004E-2</v>
      </c>
      <c r="J5" s="9">
        <v>8.2600000000000007E-2</v>
      </c>
      <c r="K5" s="10">
        <v>2.2000000000000001E-3</v>
      </c>
      <c r="M5" s="8">
        <f>5.67037*10^(-8)</f>
        <v>5.67037E-8</v>
      </c>
      <c r="N5" s="9">
        <v>0.8</v>
      </c>
      <c r="O5" s="9">
        <v>0.35</v>
      </c>
      <c r="P5" s="9">
        <f>I5/2/B7</f>
        <v>1.6333333333333335E-2</v>
      </c>
      <c r="Q5" s="10">
        <v>3</v>
      </c>
    </row>
    <row r="6" spans="2:17" x14ac:dyDescent="0.25">
      <c r="B6" s="23" t="s">
        <v>8</v>
      </c>
      <c r="C6" s="24" t="s">
        <v>10</v>
      </c>
      <c r="D6" s="24" t="s">
        <v>9</v>
      </c>
      <c r="E6" s="24" t="s">
        <v>12</v>
      </c>
      <c r="F6" s="25" t="s">
        <v>11</v>
      </c>
    </row>
    <row r="7" spans="2:17" ht="15.75" thickBot="1" x14ac:dyDescent="0.3">
      <c r="B7" s="17">
        <v>3</v>
      </c>
      <c r="C7" s="27">
        <f>B7*$P$5</f>
        <v>4.9000000000000002E-2</v>
      </c>
      <c r="D7" s="27">
        <v>0</v>
      </c>
      <c r="E7" s="1">
        <f>F7+273.15</f>
        <v>183.14999999999998</v>
      </c>
      <c r="F7" s="26">
        <f>I9</f>
        <v>-90</v>
      </c>
    </row>
    <row r="8" spans="2:17" x14ac:dyDescent="0.25">
      <c r="B8" s="17">
        <v>2</v>
      </c>
      <c r="C8" s="27">
        <f t="shared" ref="C8:C10" si="0">B8*$P$5</f>
        <v>3.266666666666667E-2</v>
      </c>
      <c r="D8" s="27">
        <f>D7+$P$5*$J$5*$M$5*$N$5*(E7^4-$Q$5^4)</f>
        <v>6.886267967462871E-2</v>
      </c>
      <c r="E8" s="3">
        <f>D7/($O$5*$K$5*$J$5)*$P$5+E7</f>
        <v>183.14999999999998</v>
      </c>
      <c r="F8" s="29">
        <f>E8-273.15</f>
        <v>-90</v>
      </c>
      <c r="I8" s="14" t="s">
        <v>14</v>
      </c>
      <c r="J8" s="15" t="s">
        <v>17</v>
      </c>
      <c r="K8" s="15" t="s">
        <v>13</v>
      </c>
      <c r="L8" s="15" t="s">
        <v>16</v>
      </c>
      <c r="M8" s="16" t="s">
        <v>15</v>
      </c>
    </row>
    <row r="9" spans="2:17" x14ac:dyDescent="0.25">
      <c r="B9" s="17">
        <v>1</v>
      </c>
      <c r="C9" s="27">
        <f t="shared" si="0"/>
        <v>1.6333333333333335E-2</v>
      </c>
      <c r="D9" s="27">
        <f t="shared" ref="D9" si="1">D8+$P$5*$J$5*$M$5*$N$5*(E8^4-$Q$5^4)</f>
        <v>0.13772535934925742</v>
      </c>
      <c r="E9" s="3">
        <f t="shared" ref="E9:E10" si="2">D8/($O$5*$K$5*$J$5)*$P$5+E8</f>
        <v>200.83430397396728</v>
      </c>
      <c r="F9" s="29">
        <f t="shared" ref="F9:F10" si="3">E9-273.15</f>
        <v>-72.315696026032697</v>
      </c>
      <c r="I9" s="17">
        <v>-90</v>
      </c>
      <c r="J9" s="3">
        <f>F10</f>
        <v>-36.947088078098062</v>
      </c>
      <c r="K9" s="2">
        <f>I5*J5*N5*M5*(E10^4-Q5^4)</f>
        <v>1.1430059368046979</v>
      </c>
      <c r="L9" s="3">
        <f>D10*2</f>
        <v>0.47458123226844784</v>
      </c>
      <c r="M9" s="18">
        <f>L9/K9</f>
        <v>0.41520452080516024</v>
      </c>
    </row>
    <row r="10" spans="2:17" x14ac:dyDescent="0.25">
      <c r="B10" s="17">
        <v>0</v>
      </c>
      <c r="C10" s="27">
        <f t="shared" si="0"/>
        <v>0</v>
      </c>
      <c r="D10" s="27">
        <f>D9+$P$5*$J$5*$M$5*$N$5*(E9^4-$Q$5^4)</f>
        <v>0.23729061613422392</v>
      </c>
      <c r="E10" s="3">
        <f t="shared" si="2"/>
        <v>236.20291192190192</v>
      </c>
      <c r="F10" s="29">
        <f t="shared" si="3"/>
        <v>-36.947088078098062</v>
      </c>
      <c r="I10" s="17"/>
      <c r="J10" s="2">
        <f>J9</f>
        <v>-36.947088078098062</v>
      </c>
      <c r="K10" s="2">
        <f>K9</f>
        <v>1.1430059368046979</v>
      </c>
      <c r="L10" s="4">
        <f>L9</f>
        <v>0.47458123226844784</v>
      </c>
      <c r="M10" s="19">
        <f>M9</f>
        <v>0.41520452080516024</v>
      </c>
    </row>
    <row r="11" spans="2:17" x14ac:dyDescent="0.25">
      <c r="B11" s="17"/>
      <c r="C11" s="27"/>
      <c r="D11" s="27"/>
      <c r="E11" s="3"/>
      <c r="F11" s="29"/>
      <c r="I11" s="17">
        <v>-67</v>
      </c>
      <c r="J11" s="2">
        <f t="dataTable" ref="J11:M26" dt2D="0" dtr="0" r1="I9"/>
        <v>18.155931196586948</v>
      </c>
      <c r="K11" s="2">
        <v>2.644263999699398</v>
      </c>
      <c r="L11" s="4">
        <v>0.8124854286355041</v>
      </c>
      <c r="M11" s="18">
        <v>0.30726335522015508</v>
      </c>
    </row>
    <row r="12" spans="2:17" x14ac:dyDescent="0.25">
      <c r="B12" s="17"/>
      <c r="C12" s="27"/>
      <c r="D12" s="27"/>
      <c r="E12" s="3"/>
      <c r="F12" s="29"/>
      <c r="I12" s="17">
        <v>-65</v>
      </c>
      <c r="J12" s="2">
        <v>23.508953836981732</v>
      </c>
      <c r="K12" s="2">
        <v>2.8440507845704777</v>
      </c>
      <c r="L12" s="4">
        <v>0.84998301014101241</v>
      </c>
      <c r="M12" s="18">
        <v>0.29886351353229473</v>
      </c>
    </row>
    <row r="13" spans="2:17" x14ac:dyDescent="0.25">
      <c r="B13" s="17"/>
      <c r="C13" s="27"/>
      <c r="D13" s="27"/>
      <c r="E13" s="3"/>
      <c r="F13" s="29"/>
      <c r="I13" s="17">
        <v>-63</v>
      </c>
      <c r="J13" s="2">
        <v>28.960034315832445</v>
      </c>
      <c r="K13" s="2">
        <v>3.0589199000102347</v>
      </c>
      <c r="L13" s="4">
        <v>0.88901947802700987</v>
      </c>
      <c r="M13" s="18">
        <v>0.29063182662090475</v>
      </c>
    </row>
    <row r="14" spans="2:17" x14ac:dyDescent="0.25">
      <c r="B14" s="17"/>
      <c r="C14" s="27"/>
      <c r="D14" s="27"/>
      <c r="E14" s="3"/>
      <c r="F14" s="29"/>
      <c r="I14" s="17">
        <v>-61</v>
      </c>
      <c r="J14" s="2">
        <v>34.511066025684897</v>
      </c>
      <c r="K14" s="2">
        <v>3.290013396140488</v>
      </c>
      <c r="L14" s="4">
        <v>0.92965709865297808</v>
      </c>
      <c r="M14" s="18">
        <v>0.28256939614396648</v>
      </c>
    </row>
    <row r="15" spans="2:17" x14ac:dyDescent="0.25">
      <c r="B15" s="17"/>
      <c r="C15" s="27"/>
      <c r="D15" s="27"/>
      <c r="E15" s="3"/>
      <c r="F15" s="29"/>
      <c r="I15" s="17">
        <v>-59</v>
      </c>
      <c r="J15" s="2">
        <v>40.163960464679008</v>
      </c>
      <c r="K15" s="2">
        <v>3.5385593973739176</v>
      </c>
      <c r="L15" s="4">
        <v>0.97196095635393964</v>
      </c>
      <c r="M15" s="18">
        <v>0.27467702169285729</v>
      </c>
    </row>
    <row r="16" spans="2:17" x14ac:dyDescent="0.25">
      <c r="B16" s="17"/>
      <c r="C16" s="27"/>
      <c r="D16" s="27"/>
      <c r="E16" s="3"/>
      <c r="F16" s="29"/>
      <c r="I16" s="17">
        <v>-57</v>
      </c>
      <c r="J16" s="2">
        <v>45.920647236549598</v>
      </c>
      <c r="K16" s="2">
        <v>3.8058784856701293</v>
      </c>
      <c r="L16" s="4">
        <v>1.0159990966382246</v>
      </c>
      <c r="M16" s="18">
        <v>0.26695521164526359</v>
      </c>
    </row>
    <row r="17" spans="2:13" x14ac:dyDescent="0.25">
      <c r="B17" s="17"/>
      <c r="C17" s="27"/>
      <c r="D17" s="27"/>
      <c r="E17" s="3"/>
      <c r="F17" s="29"/>
      <c r="I17" s="17">
        <v>-55</v>
      </c>
      <c r="J17" s="2">
        <v>51.783074050625828</v>
      </c>
      <c r="K17" s="2">
        <v>4.0933905441902159</v>
      </c>
      <c r="L17" s="4">
        <v>1.0618426768885527</v>
      </c>
      <c r="M17" s="18">
        <v>0.25940419449974916</v>
      </c>
    </row>
    <row r="18" spans="2:13" x14ac:dyDescent="0.25">
      <c r="B18" s="17"/>
      <c r="C18" s="27"/>
      <c r="D18" s="27"/>
      <c r="E18" s="3"/>
      <c r="F18" s="29"/>
      <c r="I18" s="17">
        <v>-53</v>
      </c>
      <c r="J18" s="2">
        <v>57.753206721831134</v>
      </c>
      <c r="K18" s="2">
        <v>4.4026220932495592</v>
      </c>
      <c r="L18" s="4">
        <v>1.1095661249550495</v>
      </c>
      <c r="M18" s="18">
        <v>0.25202393061542167</v>
      </c>
    </row>
    <row r="19" spans="2:13" x14ac:dyDescent="0.25">
      <c r="B19" s="17"/>
      <c r="C19" s="27"/>
      <c r="D19" s="27"/>
      <c r="E19" s="3"/>
      <c r="F19" s="29"/>
      <c r="I19" s="17">
        <v>-51</v>
      </c>
      <c r="J19" s="2">
        <v>63.833029170683972</v>
      </c>
      <c r="K19" s="2">
        <v>4.7352141525627651</v>
      </c>
      <c r="L19" s="4">
        <v>1.15924730604846</v>
      </c>
      <c r="M19" s="18">
        <v>0.24481412428222679</v>
      </c>
    </row>
    <row r="20" spans="2:13" x14ac:dyDescent="0.25">
      <c r="B20" s="17"/>
      <c r="C20" s="27"/>
      <c r="D20" s="27"/>
      <c r="E20" s="3"/>
      <c r="F20" s="29"/>
      <c r="I20" s="17">
        <v>-49</v>
      </c>
      <c r="J20" s="2">
        <v>70.024543423296848</v>
      </c>
      <c r="K20" s="2">
        <v>5.0929306659968745</v>
      </c>
      <c r="L20" s="4">
        <v>1.210967698362392</v>
      </c>
      <c r="M20" s="18">
        <v>0.2377742360498758</v>
      </c>
    </row>
    <row r="21" spans="2:13" x14ac:dyDescent="0.25">
      <c r="B21" s="17"/>
      <c r="C21" s="27"/>
      <c r="D21" s="27"/>
      <c r="E21" s="3"/>
      <c r="F21" s="29"/>
      <c r="I21" s="17">
        <v>-47</v>
      </c>
      <c r="J21" s="2">
        <v>76.329769611377003</v>
      </c>
      <c r="K21" s="2">
        <v>5.4776675274070934</v>
      </c>
      <c r="L21" s="4">
        <v>1.2648125778750492</v>
      </c>
      <c r="M21" s="18">
        <v>0.2309034952462258</v>
      </c>
    </row>
    <row r="22" spans="2:13" x14ac:dyDescent="0.25">
      <c r="B22" s="17"/>
      <c r="C22" s="27"/>
      <c r="D22" s="27"/>
      <c r="E22" s="3"/>
      <c r="F22" s="29"/>
      <c r="I22" s="17">
        <v>-45</v>
      </c>
      <c r="J22" s="2">
        <v>82.750745972226184</v>
      </c>
      <c r="K22" s="2">
        <v>5.8914622486298036</v>
      </c>
      <c r="L22" s="4">
        <v>1.3208712128034994</v>
      </c>
      <c r="M22" s="18">
        <v>0.22420091261905287</v>
      </c>
    </row>
    <row r="23" spans="2:13" x14ac:dyDescent="0.25">
      <c r="B23" s="17"/>
      <c r="C23" s="27"/>
      <c r="D23" s="27"/>
      <c r="E23" s="3"/>
      <c r="F23" s="29"/>
      <c r="I23" s="17">
        <v>-43</v>
      </c>
      <c r="J23" s="2">
        <v>89.289528848740588</v>
      </c>
      <c r="K23" s="2">
        <v>6.3365043133593897</v>
      </c>
      <c r="L23" s="4">
        <v>1.3792370682072868</v>
      </c>
      <c r="M23" s="18">
        <v>0.21766529303853094</v>
      </c>
    </row>
    <row r="24" spans="2:13" x14ac:dyDescent="0.25">
      <c r="B24" s="17"/>
      <c r="C24" s="27"/>
      <c r="D24" s="27"/>
      <c r="E24" s="3"/>
      <c r="F24" s="29"/>
      <c r="I24" s="17">
        <v>-41</v>
      </c>
      <c r="J24" s="2">
        <v>95.94819268941086</v>
      </c>
      <c r="K24" s="2">
        <v>6.815146263446251</v>
      </c>
      <c r="L24" s="4">
        <v>1.4400080212630308</v>
      </c>
      <c r="M24" s="18">
        <v>0.21129524820129897</v>
      </c>
    </row>
    <row r="25" spans="2:13" x14ac:dyDescent="0.25">
      <c r="B25" s="17"/>
      <c r="C25" s="27"/>
      <c r="D25" s="27"/>
      <c r="E25" s="3"/>
      <c r="F25" s="29"/>
      <c r="I25" s="17">
        <v>-39</v>
      </c>
      <c r="J25" s="2">
        <v>102.72883004832221</v>
      </c>
      <c r="K25" s="2">
        <v>7.3299155671320557</v>
      </c>
      <c r="L25" s="4">
        <v>1.503286587757712</v>
      </c>
      <c r="M25" s="18">
        <v>0.20508920928074159</v>
      </c>
    </row>
    <row r="26" spans="2:13" ht="15.75" thickBot="1" x14ac:dyDescent="0.3">
      <c r="B26" s="17"/>
      <c r="C26" s="27"/>
      <c r="D26" s="27"/>
      <c r="E26" s="3"/>
      <c r="F26" s="29"/>
      <c r="I26" s="17">
        <v>-37</v>
      </c>
      <c r="J26" s="20">
        <v>109.63355158515441</v>
      </c>
      <c r="K26" s="20">
        <v>7.8835273218941007</v>
      </c>
      <c r="L26" s="21">
        <v>1.5691801603756537</v>
      </c>
      <c r="M26" s="22">
        <v>0.19904543947196487</v>
      </c>
    </row>
    <row r="27" spans="2:13" x14ac:dyDescent="0.25">
      <c r="B27" s="17"/>
      <c r="C27" s="27"/>
      <c r="D27" s="27"/>
      <c r="E27" s="3"/>
      <c r="F27" s="29"/>
    </row>
    <row r="28" spans="2:13" x14ac:dyDescent="0.25">
      <c r="B28" s="17"/>
      <c r="C28" s="27"/>
      <c r="D28" s="27"/>
      <c r="E28" s="3"/>
      <c r="F28" s="29"/>
    </row>
    <row r="29" spans="2:13" x14ac:dyDescent="0.25">
      <c r="B29" s="17"/>
      <c r="C29" s="27"/>
      <c r="D29" s="27"/>
      <c r="E29" s="3"/>
      <c r="F29" s="29"/>
    </row>
    <row r="30" spans="2:13" x14ac:dyDescent="0.25">
      <c r="B30" s="17"/>
      <c r="C30" s="27"/>
      <c r="D30" s="27"/>
      <c r="E30" s="3"/>
      <c r="F30" s="29"/>
    </row>
    <row r="31" spans="2:13" x14ac:dyDescent="0.25">
      <c r="B31" s="17"/>
      <c r="C31" s="27"/>
      <c r="D31" s="27"/>
      <c r="E31" s="3"/>
      <c r="F31" s="29"/>
      <c r="K31" s="2"/>
    </row>
    <row r="32" spans="2:13" x14ac:dyDescent="0.25">
      <c r="B32" s="17"/>
      <c r="C32" s="27"/>
      <c r="D32" s="27"/>
      <c r="E32" s="3"/>
      <c r="F32" s="29"/>
    </row>
    <row r="33" spans="2:6" x14ac:dyDescent="0.25">
      <c r="B33" s="17"/>
      <c r="C33" s="27"/>
      <c r="D33" s="27"/>
      <c r="E33" s="3"/>
      <c r="F33" s="29"/>
    </row>
    <row r="34" spans="2:6" x14ac:dyDescent="0.25">
      <c r="B34" s="17"/>
      <c r="C34" s="27"/>
      <c r="D34" s="27"/>
      <c r="E34" s="3"/>
      <c r="F34" s="29"/>
    </row>
    <row r="35" spans="2:6" x14ac:dyDescent="0.25">
      <c r="B35" s="17"/>
      <c r="C35" s="27"/>
      <c r="D35" s="27"/>
      <c r="E35" s="3"/>
      <c r="F35" s="29"/>
    </row>
    <row r="36" spans="2:6" x14ac:dyDescent="0.25">
      <c r="B36" s="17"/>
      <c r="C36" s="27"/>
      <c r="D36" s="27"/>
      <c r="E36" s="3"/>
      <c r="F36" s="29"/>
    </row>
    <row r="37" spans="2:6" x14ac:dyDescent="0.25">
      <c r="B37" s="17"/>
      <c r="C37" s="27"/>
      <c r="D37" s="27"/>
      <c r="E37" s="3"/>
      <c r="F37" s="29"/>
    </row>
    <row r="38" spans="2:6" x14ac:dyDescent="0.25">
      <c r="B38" s="17"/>
      <c r="C38" s="27"/>
      <c r="D38" s="27"/>
      <c r="E38" s="3"/>
      <c r="F38" s="29"/>
    </row>
    <row r="39" spans="2:6" x14ac:dyDescent="0.25">
      <c r="B39" s="17"/>
      <c r="C39" s="27"/>
      <c r="D39" s="27"/>
      <c r="E39" s="3"/>
      <c r="F39" s="29"/>
    </row>
    <row r="40" spans="2:6" x14ac:dyDescent="0.25">
      <c r="B40" s="17"/>
      <c r="C40" s="27"/>
      <c r="D40" s="27"/>
      <c r="E40" s="3"/>
      <c r="F40" s="29"/>
    </row>
    <row r="41" spans="2:6" x14ac:dyDescent="0.25">
      <c r="B41" s="17"/>
      <c r="C41" s="27"/>
      <c r="D41" s="27"/>
      <c r="E41" s="3"/>
      <c r="F41" s="29"/>
    </row>
    <row r="42" spans="2:6" x14ac:dyDescent="0.25">
      <c r="B42" s="17"/>
      <c r="C42" s="27"/>
      <c r="D42" s="27"/>
      <c r="E42" s="3"/>
      <c r="F42" s="29"/>
    </row>
    <row r="43" spans="2:6" x14ac:dyDescent="0.25">
      <c r="B43" s="17"/>
      <c r="C43" s="27"/>
      <c r="D43" s="27"/>
      <c r="E43" s="3"/>
      <c r="F43" s="29"/>
    </row>
    <row r="44" spans="2:6" x14ac:dyDescent="0.25">
      <c r="B44" s="17"/>
      <c r="C44" s="27"/>
      <c r="D44" s="27"/>
      <c r="E44" s="3"/>
      <c r="F44" s="29"/>
    </row>
    <row r="45" spans="2:6" x14ac:dyDescent="0.25">
      <c r="B45" s="17"/>
      <c r="C45" s="27"/>
      <c r="D45" s="27"/>
      <c r="E45" s="3"/>
      <c r="F45" s="29"/>
    </row>
    <row r="46" spans="2:6" x14ac:dyDescent="0.25">
      <c r="B46" s="17"/>
      <c r="C46" s="27"/>
      <c r="D46" s="27"/>
      <c r="E46" s="3"/>
      <c r="F46" s="29"/>
    </row>
    <row r="47" spans="2:6" ht="15.75" thickBot="1" x14ac:dyDescent="0.3">
      <c r="B47" s="8"/>
      <c r="C47" s="28"/>
      <c r="D47" s="28"/>
      <c r="E47" s="30"/>
      <c r="F47" s="3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47"/>
  <sheetViews>
    <sheetView topLeftCell="D3" zoomScale="120" zoomScaleNormal="120" workbookViewId="0">
      <selection activeCell="J11" sqref="J11"/>
    </sheetView>
  </sheetViews>
  <sheetFormatPr baseColWidth="10" defaultColWidth="9.140625" defaultRowHeight="15" x14ac:dyDescent="0.25"/>
  <cols>
    <col min="3" max="3" width="12.7109375" bestFit="1" customWidth="1"/>
    <col min="4" max="4" width="12.5703125" bestFit="1" customWidth="1"/>
    <col min="5" max="5" width="15.5703125" bestFit="1" customWidth="1"/>
    <col min="6" max="6" width="10.7109375" customWidth="1"/>
    <col min="8" max="8" width="10.28515625" customWidth="1"/>
    <col min="9" max="9" width="12.28515625" bestFit="1" customWidth="1"/>
    <col min="10" max="10" width="11.5703125" bestFit="1" customWidth="1"/>
    <col min="11" max="11" width="14.7109375" bestFit="1" customWidth="1"/>
    <col min="12" max="12" width="10" bestFit="1" customWidth="1"/>
    <col min="13" max="13" width="16.28515625" bestFit="1" customWidth="1"/>
    <col min="14" max="14" width="10.140625" customWidth="1"/>
    <col min="15" max="15" width="19.85546875" customWidth="1"/>
    <col min="16" max="16" width="10.42578125" customWidth="1"/>
    <col min="17" max="17" width="12.5703125" bestFit="1" customWidth="1"/>
  </cols>
  <sheetData>
    <row r="3" spans="2:17" ht="15.75" thickBot="1" x14ac:dyDescent="0.3"/>
    <row r="4" spans="2:17" x14ac:dyDescent="0.25">
      <c r="I4" s="5" t="s">
        <v>5</v>
      </c>
      <c r="J4" s="6" t="s">
        <v>4</v>
      </c>
      <c r="K4" s="7" t="s">
        <v>3</v>
      </c>
      <c r="M4" s="11" t="s">
        <v>0</v>
      </c>
      <c r="N4" s="12" t="s">
        <v>1</v>
      </c>
      <c r="O4" s="12" t="s">
        <v>6</v>
      </c>
      <c r="P4" s="12" t="s">
        <v>2</v>
      </c>
      <c r="Q4" s="13" t="s">
        <v>7</v>
      </c>
    </row>
    <row r="5" spans="2:17" ht="15.75" thickBot="1" x14ac:dyDescent="0.3">
      <c r="I5" s="8">
        <v>9.8000000000000004E-2</v>
      </c>
      <c r="J5" s="9">
        <v>8.2600000000000007E-2</v>
      </c>
      <c r="K5" s="10">
        <v>2.2000000000000001E-3</v>
      </c>
      <c r="M5" s="8">
        <f>5.67037*10^(-8)</f>
        <v>5.67037E-8</v>
      </c>
      <c r="N5" s="9">
        <v>0.8</v>
      </c>
      <c r="O5" s="9">
        <v>0.35</v>
      </c>
      <c r="P5" s="9">
        <f>I5/2/B7</f>
        <v>1.225E-3</v>
      </c>
      <c r="Q5" s="10">
        <v>3</v>
      </c>
    </row>
    <row r="6" spans="2:17" x14ac:dyDescent="0.25">
      <c r="B6" s="23" t="s">
        <v>8</v>
      </c>
      <c r="C6" s="24" t="s">
        <v>10</v>
      </c>
      <c r="D6" s="24" t="s">
        <v>9</v>
      </c>
      <c r="E6" s="24" t="s">
        <v>12</v>
      </c>
      <c r="F6" s="25" t="s">
        <v>11</v>
      </c>
    </row>
    <row r="7" spans="2:17" ht="15.75" thickBot="1" x14ac:dyDescent="0.3">
      <c r="B7" s="17">
        <v>40</v>
      </c>
      <c r="C7" s="27">
        <f>B7*$P$5</f>
        <v>4.9000000000000002E-2</v>
      </c>
      <c r="D7" s="27">
        <v>0</v>
      </c>
      <c r="E7" s="1">
        <f>F7+273.15</f>
        <v>183.14999999999998</v>
      </c>
      <c r="F7" s="26">
        <f>I9</f>
        <v>-90</v>
      </c>
    </row>
    <row r="8" spans="2:17" x14ac:dyDescent="0.25">
      <c r="B8" s="17">
        <v>39</v>
      </c>
      <c r="C8" s="27">
        <f t="shared" ref="C8:C47" si="0">B8*$P$5</f>
        <v>4.7774999999999998E-2</v>
      </c>
      <c r="D8" s="27">
        <f>D7+$P$5*$J$5*$M$5*$N$5*(E7^4-$Q$5^4)</f>
        <v>5.164700975597152E-3</v>
      </c>
      <c r="E8" s="3">
        <f>D7/($O$5*$K$5*$J$5)*$P$5+E7</f>
        <v>183.14999999999998</v>
      </c>
      <c r="F8" s="29">
        <f>E8-273.15</f>
        <v>-90</v>
      </c>
      <c r="I8" s="14" t="s">
        <v>14</v>
      </c>
      <c r="J8" s="15" t="s">
        <v>17</v>
      </c>
      <c r="K8" s="15" t="s">
        <v>13</v>
      </c>
      <c r="L8" s="15" t="s">
        <v>16</v>
      </c>
      <c r="M8" s="16" t="s">
        <v>15</v>
      </c>
    </row>
    <row r="9" spans="2:17" x14ac:dyDescent="0.25">
      <c r="B9" s="17">
        <v>38</v>
      </c>
      <c r="C9" s="27">
        <f t="shared" si="0"/>
        <v>4.6550000000000001E-2</v>
      </c>
      <c r="D9" s="27">
        <f t="shared" ref="D9:D27" si="1">D8+$P$5*$J$5*$M$5*$N$5*(E8^4-$Q$5^4)</f>
        <v>1.0329401951194304E-2</v>
      </c>
      <c r="E9" s="3">
        <f t="shared" ref="E9:E27" si="2">D8/($O$5*$K$5*$J$5)*$P$5+E8</f>
        <v>183.24947420985353</v>
      </c>
      <c r="F9" s="29">
        <f t="shared" ref="F9:F47" si="3">E9-273.15</f>
        <v>-89.900525790146446</v>
      </c>
      <c r="I9" s="17">
        <v>-90</v>
      </c>
      <c r="J9" s="3">
        <f>F47</f>
        <v>17.142273827887891</v>
      </c>
      <c r="K9" s="2">
        <f>I5*J5*N5*M5*(E47^4-Q5^4)</f>
        <v>2.6076506734038696</v>
      </c>
      <c r="L9" s="3">
        <f>D47*2</f>
        <v>0.83872719594259437</v>
      </c>
      <c r="M9" s="18">
        <f>L9/K9</f>
        <v>0.32164093315757303</v>
      </c>
    </row>
    <row r="10" spans="2:17" x14ac:dyDescent="0.25">
      <c r="B10" s="17">
        <v>37</v>
      </c>
      <c r="C10" s="27">
        <f t="shared" si="0"/>
        <v>4.5324999999999997E-2</v>
      </c>
      <c r="D10" s="27">
        <f>D9+$P$5*$J$5*$M$5*$N$5*(E9^4-$Q$5^4)</f>
        <v>1.5505332482681549E-2</v>
      </c>
      <c r="E10" s="3">
        <f t="shared" si="2"/>
        <v>183.44842262956067</v>
      </c>
      <c r="F10" s="29">
        <f t="shared" si="3"/>
        <v>-89.70157737043931</v>
      </c>
      <c r="I10" s="17"/>
      <c r="J10" s="2">
        <f>J9</f>
        <v>17.142273827887891</v>
      </c>
      <c r="K10" s="2">
        <f>K9</f>
        <v>2.6076506734038696</v>
      </c>
      <c r="L10" s="4">
        <f>L9</f>
        <v>0.83872719594259437</v>
      </c>
      <c r="M10" s="19">
        <f>M9</f>
        <v>0.32164093315757303</v>
      </c>
    </row>
    <row r="11" spans="2:17" x14ac:dyDescent="0.25">
      <c r="B11" s="17">
        <v>36</v>
      </c>
      <c r="C11" s="27">
        <f t="shared" si="0"/>
        <v>4.41E-2</v>
      </c>
      <c r="D11" s="27">
        <f t="shared" si="1"/>
        <v>2.0703777052672706E-2</v>
      </c>
      <c r="E11" s="3">
        <f t="shared" si="2"/>
        <v>183.74706154486654</v>
      </c>
      <c r="F11" s="29">
        <f t="shared" si="3"/>
        <v>-89.402938455133437</v>
      </c>
      <c r="I11" s="17">
        <v>-90</v>
      </c>
      <c r="J11" s="2">
        <f t="dataTable" ref="J11:M26" dt2D="0" dtr="0" r1="I9"/>
        <v>17.142273827887891</v>
      </c>
      <c r="K11" s="2">
        <v>2.6076506734038696</v>
      </c>
      <c r="L11" s="4">
        <v>0.83872719594259437</v>
      </c>
      <c r="M11" s="18">
        <v>0.32164093315757303</v>
      </c>
    </row>
    <row r="12" spans="2:17" x14ac:dyDescent="0.25">
      <c r="B12" s="17">
        <v>35</v>
      </c>
      <c r="C12" s="27">
        <f t="shared" si="0"/>
        <v>4.2874999999999996E-2</v>
      </c>
      <c r="D12" s="27">
        <f t="shared" si="1"/>
        <v>2.5936154931278814E-2</v>
      </c>
      <c r="E12" s="3">
        <f t="shared" si="2"/>
        <v>184.14582458517225</v>
      </c>
      <c r="F12" s="29">
        <f t="shared" si="3"/>
        <v>-89.004175414827728</v>
      </c>
      <c r="I12" s="17">
        <v>-89</v>
      </c>
      <c r="J12" s="2">
        <v>21.251190834248916</v>
      </c>
      <c r="K12" s="2">
        <v>2.7584540437603251</v>
      </c>
      <c r="L12" s="4">
        <v>0.8705015613044248</v>
      </c>
      <c r="M12" s="18">
        <v>0.31557587963936384</v>
      </c>
    </row>
    <row r="13" spans="2:17" x14ac:dyDescent="0.25">
      <c r="B13" s="17">
        <v>34</v>
      </c>
      <c r="C13" s="27">
        <f t="shared" si="0"/>
        <v>4.165E-2</v>
      </c>
      <c r="D13" s="27">
        <f t="shared" si="1"/>
        <v>3.1214101558717212E-2</v>
      </c>
      <c r="E13" s="3">
        <f t="shared" si="2"/>
        <v>184.64536531959595</v>
      </c>
      <c r="F13" s="29">
        <f t="shared" si="3"/>
        <v>-88.504634680404024</v>
      </c>
      <c r="I13" s="17">
        <v>-88</v>
      </c>
      <c r="J13" s="2">
        <v>25.452931852634833</v>
      </c>
      <c r="K13" s="2">
        <v>2.9193339238775313</v>
      </c>
      <c r="L13" s="4">
        <v>0.90367239721104387</v>
      </c>
      <c r="M13" s="18">
        <v>0.30954745869248279</v>
      </c>
    </row>
    <row r="14" spans="2:17" x14ac:dyDescent="0.25">
      <c r="B14" s="17">
        <v>33</v>
      </c>
      <c r="C14" s="27">
        <f t="shared" si="0"/>
        <v>4.0424999999999996E-2</v>
      </c>
      <c r="D14" s="27">
        <f t="shared" si="1"/>
        <v>3.6549552555271515E-2</v>
      </c>
      <c r="E14" s="3">
        <f t="shared" si="2"/>
        <v>185.24656142049574</v>
      </c>
      <c r="F14" s="29">
        <f t="shared" si="3"/>
        <v>-87.90343857950424</v>
      </c>
      <c r="I14" s="17">
        <v>-87</v>
      </c>
      <c r="J14" s="2">
        <v>29.750926186158324</v>
      </c>
      <c r="K14" s="2">
        <v>3.0910776084653087</v>
      </c>
      <c r="L14" s="4">
        <v>0.93831693950326067</v>
      </c>
      <c r="M14" s="18">
        <v>0.30355657746462289</v>
      </c>
    </row>
    <row r="15" spans="2:17" x14ac:dyDescent="0.25">
      <c r="B15" s="17">
        <v>32</v>
      </c>
      <c r="C15" s="27">
        <f t="shared" si="0"/>
        <v>3.9199999999999999E-2</v>
      </c>
      <c r="D15" s="27">
        <f t="shared" si="1"/>
        <v>4.1954831516831853E-2</v>
      </c>
      <c r="E15" s="3">
        <f t="shared" si="2"/>
        <v>185.95052044505798</v>
      </c>
      <c r="F15" s="29">
        <f t="shared" si="3"/>
        <v>-87.199479554942002</v>
      </c>
      <c r="I15" s="17">
        <v>-86</v>
      </c>
      <c r="J15" s="2">
        <v>34.148775391251149</v>
      </c>
      <c r="K15" s="2">
        <v>3.2745439402418643</v>
      </c>
      <c r="L15" s="4">
        <v>0.97451776013510805</v>
      </c>
      <c r="M15" s="18">
        <v>0.29760411767848449</v>
      </c>
    </row>
    <row r="16" spans="2:17" x14ac:dyDescent="0.25">
      <c r="B16" s="17">
        <v>31</v>
      </c>
      <c r="C16" s="27">
        <f t="shared" si="0"/>
        <v>3.7975000000000002E-2</v>
      </c>
      <c r="D16" s="27">
        <f t="shared" si="1"/>
        <v>4.7442742833065446E-2</v>
      </c>
      <c r="E16" s="3">
        <f t="shared" si="2"/>
        <v>186.75858730786291</v>
      </c>
      <c r="F16" s="29">
        <f t="shared" si="3"/>
        <v>-86.391412692137067</v>
      </c>
      <c r="I16" s="17">
        <v>-85</v>
      </c>
      <c r="J16" s="2">
        <v>38.650264430812399</v>
      </c>
      <c r="K16" s="2">
        <v>3.4706707935744596</v>
      </c>
      <c r="L16" s="4">
        <v>1.012363210684559</v>
      </c>
      <c r="M16" s="18">
        <v>0.29169093552716985</v>
      </c>
    </row>
    <row r="17" spans="2:13" x14ac:dyDescent="0.25">
      <c r="B17" s="17">
        <v>30</v>
      </c>
      <c r="C17" s="27">
        <f t="shared" si="0"/>
        <v>3.6749999999999998E-2</v>
      </c>
      <c r="D17" s="27">
        <f t="shared" si="1"/>
        <v>5.3026670872660865E-2</v>
      </c>
      <c r="E17" s="3">
        <f t="shared" si="2"/>
        <v>187.67235354116539</v>
      </c>
      <c r="F17" s="29">
        <f t="shared" si="3"/>
        <v>-85.477646458834585</v>
      </c>
      <c r="I17" s="17">
        <v>-84</v>
      </c>
      <c r="J17" s="2">
        <v>43.259373704763163</v>
      </c>
      <c r="K17" s="2">
        <v>3.680483448882979</v>
      </c>
      <c r="L17" s="4">
        <v>1.0519479090408765</v>
      </c>
      <c r="M17" s="18">
        <v>0.28581786160732259</v>
      </c>
    </row>
    <row r="18" spans="2:13" x14ac:dyDescent="0.25">
      <c r="B18" s="17">
        <v>29</v>
      </c>
      <c r="C18" s="27">
        <f t="shared" si="0"/>
        <v>3.5525000000000001E-2</v>
      </c>
      <c r="D18" s="27">
        <f t="shared" si="1"/>
        <v>5.87206870195063E-2</v>
      </c>
      <c r="E18" s="3">
        <f t="shared" si="2"/>
        <v>188.69366846552327</v>
      </c>
      <c r="F18" s="29">
        <f t="shared" si="3"/>
        <v>-84.456331534476703</v>
      </c>
      <c r="I18" s="17">
        <v>-83</v>
      </c>
      <c r="J18" s="2">
        <v>47.980292039373808</v>
      </c>
      <c r="K18" s="2">
        <v>3.9051039771816778</v>
      </c>
      <c r="L18" s="4">
        <v>1.0933732741019264</v>
      </c>
      <c r="M18" s="18">
        <v>0.27998570089061148</v>
      </c>
    </row>
    <row r="19" spans="2:13" x14ac:dyDescent="0.25">
      <c r="B19" s="17">
        <v>28</v>
      </c>
      <c r="C19" s="27">
        <f t="shared" si="0"/>
        <v>3.4299999999999997E-2</v>
      </c>
      <c r="D19" s="27">
        <f t="shared" si="1"/>
        <v>6.4539666219693509E-2</v>
      </c>
      <c r="E19" s="3">
        <f t="shared" si="2"/>
        <v>189.82465242198526</v>
      </c>
      <c r="F19" s="29">
        <f t="shared" si="3"/>
        <v>-83.325347578014714</v>
      </c>
      <c r="I19" s="17">
        <v>-82</v>
      </c>
      <c r="J19" s="2">
        <v>52.817430725427073</v>
      </c>
      <c r="K19" s="2">
        <v>4.1457617719772726</v>
      </c>
      <c r="L19" s="4">
        <v>1.136748113927859</v>
      </c>
      <c r="M19" s="18">
        <v>0.27419523273420032</v>
      </c>
    </row>
    <row r="20" spans="2:13" x14ac:dyDescent="0.25">
      <c r="B20" s="17">
        <v>27</v>
      </c>
      <c r="C20" s="27">
        <f t="shared" si="0"/>
        <v>3.3075E-2</v>
      </c>
      <c r="D20" s="27">
        <f t="shared" si="1"/>
        <v>7.0499414917828671E-2</v>
      </c>
      <c r="E20" s="3">
        <f t="shared" si="2"/>
        <v>191.06771224902096</v>
      </c>
      <c r="F20" s="29">
        <f t="shared" si="3"/>
        <v>-82.08228775097902</v>
      </c>
      <c r="I20" s="17">
        <v>-81</v>
      </c>
      <c r="J20" s="2">
        <v>57.775438705061958</v>
      </c>
      <c r="K20" s="2">
        <v>4.4038053865362725</v>
      </c>
      <c r="L20" s="4">
        <v>1.1821892734979711</v>
      </c>
      <c r="M20" s="18">
        <v>0.26844721093086249</v>
      </c>
    </row>
    <row r="21" spans="2:13" x14ac:dyDescent="0.25">
      <c r="B21" s="17">
        <v>26</v>
      </c>
      <c r="C21" s="27">
        <f t="shared" si="0"/>
        <v>3.1849999999999996E-2</v>
      </c>
      <c r="D21" s="27">
        <f t="shared" si="1"/>
        <v>7.661681252985765E-2</v>
      </c>
      <c r="E21" s="3">
        <f t="shared" si="2"/>
        <v>192.42555922355541</v>
      </c>
      <c r="F21" s="29">
        <f t="shared" si="3"/>
        <v>-80.724440776444567</v>
      </c>
      <c r="I21" s="17">
        <v>-80</v>
      </c>
      <c r="J21" s="2">
        <v>62.859219018097406</v>
      </c>
      <c r="K21" s="2">
        <v>4.6807158588146054</v>
      </c>
      <c r="L21" s="4">
        <v>1.2298223490185292</v>
      </c>
      <c r="M21" s="18">
        <v>0.26274236379945148</v>
      </c>
    </row>
    <row r="22" spans="2:13" x14ac:dyDescent="0.25">
      <c r="B22" s="17">
        <v>25</v>
      </c>
      <c r="C22" s="27">
        <f t="shared" si="0"/>
        <v>3.0624999999999999E-2</v>
      </c>
      <c r="D22" s="27">
        <f t="shared" si="1"/>
        <v>8.2909968928061253E-2</v>
      </c>
      <c r="E22" s="3">
        <f t="shared" si="2"/>
        <v>193.90122972682693</v>
      </c>
      <c r="F22" s="29">
        <f t="shared" si="3"/>
        <v>-79.248770273173051</v>
      </c>
      <c r="I22" s="17">
        <v>-79</v>
      </c>
      <c r="J22" s="2">
        <v>68.073946630990008</v>
      </c>
      <c r="K22" s="2">
        <v>4.9781217347536497</v>
      </c>
      <c r="L22" s="4">
        <v>1.2797824766476615</v>
      </c>
      <c r="M22" s="18">
        <v>0.2570813943164838</v>
      </c>
    </row>
    <row r="23" spans="2:13" x14ac:dyDescent="0.25">
      <c r="B23" s="17">
        <v>24</v>
      </c>
      <c r="C23" s="27">
        <f t="shared" si="0"/>
        <v>2.9399999999999999E-2</v>
      </c>
      <c r="D23" s="27">
        <f t="shared" si="1"/>
        <v>8.9398400814117776E-2</v>
      </c>
      <c r="E23" s="3">
        <f t="shared" si="2"/>
        <v>195.49810894346911</v>
      </c>
      <c r="F23" s="29">
        <f t="shared" si="3"/>
        <v>-77.651891056530872</v>
      </c>
      <c r="I23" s="17">
        <v>-78</v>
      </c>
      <c r="J23" s="2">
        <v>73.42508778547284</v>
      </c>
      <c r="K23" s="2">
        <v>5.2978160339577594</v>
      </c>
      <c r="L23" s="4">
        <v>1.3322152045573368</v>
      </c>
      <c r="M23" s="18">
        <v>0.25146498028964193</v>
      </c>
    </row>
    <row r="24" spans="2:13" x14ac:dyDescent="0.25">
      <c r="B24" s="17">
        <v>23</v>
      </c>
      <c r="C24" s="27">
        <f t="shared" si="0"/>
        <v>2.8174999999999999E-2</v>
      </c>
      <c r="D24" s="27">
        <f t="shared" si="1"/>
        <v>9.6103230343355717E-2</v>
      </c>
      <c r="E24" s="3">
        <f t="shared" si="2"/>
        <v>197.2199579576085</v>
      </c>
      <c r="F24" s="29">
        <f t="shared" si="3"/>
        <v>-75.930042042391477</v>
      </c>
      <c r="I24" s="17">
        <v>-77</v>
      </c>
      <c r="J24" s="2">
        <v>78.91842101961214</v>
      </c>
      <c r="K24" s="2">
        <v>5.6417754409107861</v>
      </c>
      <c r="L24" s="4">
        <v>1.3872774584649081</v>
      </c>
      <c r="M24" s="18">
        <v>0.24589377457408185</v>
      </c>
    </row>
    <row r="25" spans="2:13" x14ac:dyDescent="0.25">
      <c r="B25" s="17">
        <v>22</v>
      </c>
      <c r="C25" s="27">
        <f t="shared" si="0"/>
        <v>2.6949999999999998E-2</v>
      </c>
      <c r="D25" s="27">
        <f t="shared" si="1"/>
        <v>0.10304740995664988</v>
      </c>
      <c r="E25" s="3">
        <f t="shared" si="2"/>
        <v>199.07094467454525</v>
      </c>
      <c r="F25" s="29">
        <f t="shared" si="3"/>
        <v>-74.079055325454732</v>
      </c>
      <c r="I25" s="17">
        <v>-76</v>
      </c>
      <c r="J25" s="2">
        <v>84.560060031735645</v>
      </c>
      <c r="K25" s="2">
        <v>6.0121820509833173</v>
      </c>
      <c r="L25" s="4">
        <v>1.4451386121636078</v>
      </c>
      <c r="M25" s="18">
        <v>0.24036840533251141</v>
      </c>
    </row>
    <row r="26" spans="2:13" ht="15.75" thickBot="1" x14ac:dyDescent="0.3">
      <c r="B26" s="17">
        <v>21</v>
      </c>
      <c r="C26" s="27">
        <f t="shared" si="0"/>
        <v>2.5724999999999998E-2</v>
      </c>
      <c r="D26" s="27">
        <f t="shared" si="1"/>
        <v>0.11025597809996995</v>
      </c>
      <c r="E26" s="3">
        <f t="shared" si="2"/>
        <v>201.05567907278581</v>
      </c>
      <c r="F26" s="29">
        <f t="shared" si="3"/>
        <v>-72.09432092721417</v>
      </c>
      <c r="I26" s="8">
        <v>-75</v>
      </c>
      <c r="J26" s="20">
        <v>90.356478577761607</v>
      </c>
      <c r="K26" s="20">
        <v>6.4114480548885213</v>
      </c>
      <c r="L26" s="21">
        <v>1.5059816761943687</v>
      </c>
      <c r="M26" s="22">
        <v>0.23488947634007679</v>
      </c>
    </row>
    <row r="27" spans="2:13" x14ac:dyDescent="0.25">
      <c r="B27" s="17">
        <v>20</v>
      </c>
      <c r="C27" s="27">
        <f t="shared" si="0"/>
        <v>2.4500000000000001E-2</v>
      </c>
      <c r="D27" s="27">
        <f t="shared" si="1"/>
        <v>0.11775635139588286</v>
      </c>
      <c r="E27" s="3">
        <f t="shared" si="2"/>
        <v>203.17925338133685</v>
      </c>
      <c r="F27" s="29">
        <f t="shared" si="3"/>
        <v>-69.970746618663128</v>
      </c>
    </row>
    <row r="28" spans="2:13" x14ac:dyDescent="0.25">
      <c r="B28" s="17">
        <v>19</v>
      </c>
      <c r="C28" s="27">
        <f t="shared" si="0"/>
        <v>2.3275000000000001E-2</v>
      </c>
      <c r="D28" s="27">
        <f t="shared" ref="D28:D47" si="4">D27+$P$5*$J$5*$M$5*$N$5*(E27^4-$Q$5^4)</f>
        <v>0.12557865991507139</v>
      </c>
      <c r="E28" s="3">
        <f t="shared" ref="E28:E47" si="5">D27/($O$5*$K$5*$J$5)*$P$5+E27</f>
        <v>205.4472878843392</v>
      </c>
      <c r="F28" s="29">
        <f t="shared" si="3"/>
        <v>-67.702712115660773</v>
      </c>
    </row>
    <row r="29" spans="2:13" x14ac:dyDescent="0.25">
      <c r="B29" s="17">
        <v>18</v>
      </c>
      <c r="C29" s="27">
        <f t="shared" si="0"/>
        <v>2.205E-2</v>
      </c>
      <c r="D29" s="27">
        <f t="shared" si="4"/>
        <v>0.13375613352853355</v>
      </c>
      <c r="E29" s="3">
        <f t="shared" si="5"/>
        <v>207.8659831831657</v>
      </c>
      <c r="F29" s="29">
        <f t="shared" si="3"/>
        <v>-65.284016816834281</v>
      </c>
    </row>
    <row r="30" spans="2:13" x14ac:dyDescent="0.25">
      <c r="B30" s="17">
        <v>17</v>
      </c>
      <c r="C30" s="27">
        <f t="shared" si="0"/>
        <v>2.0825E-2</v>
      </c>
      <c r="D30" s="27">
        <f t="shared" si="4"/>
        <v>0.14232554896578226</v>
      </c>
      <c r="E30" s="3">
        <f t="shared" si="5"/>
        <v>210.44217989981695</v>
      </c>
      <c r="F30" s="29">
        <f t="shared" si="3"/>
        <v>-62.707820100183028</v>
      </c>
    </row>
    <row r="31" spans="2:13" x14ac:dyDescent="0.25">
      <c r="B31" s="17">
        <v>16</v>
      </c>
      <c r="C31" s="27">
        <f t="shared" si="0"/>
        <v>1.9599999999999999E-2</v>
      </c>
      <c r="D31" s="27">
        <f t="shared" si="4"/>
        <v>0.15132774924240913</v>
      </c>
      <c r="E31" s="3">
        <f t="shared" si="5"/>
        <v>213.1834269908374</v>
      </c>
      <c r="F31" s="29">
        <f t="shared" si="3"/>
        <v>-59.966573009162573</v>
      </c>
      <c r="K31" s="2"/>
    </row>
    <row r="32" spans="2:13" x14ac:dyDescent="0.25">
      <c r="B32" s="17">
        <v>15</v>
      </c>
      <c r="C32" s="27">
        <f t="shared" si="0"/>
        <v>1.8374999999999999E-2</v>
      </c>
      <c r="D32" s="27">
        <f t="shared" si="4"/>
        <v>0.16080824965700263</v>
      </c>
      <c r="E32" s="3">
        <f t="shared" si="5"/>
        <v>216.09806006561416</v>
      </c>
      <c r="F32" s="29">
        <f t="shared" si="3"/>
        <v>-57.051939934385814</v>
      </c>
    </row>
    <row r="33" spans="2:6" x14ac:dyDescent="0.25">
      <c r="B33" s="17">
        <v>14</v>
      </c>
      <c r="C33" s="27">
        <f t="shared" si="0"/>
        <v>1.7149999999999999E-2</v>
      </c>
      <c r="D33" s="27">
        <f t="shared" si="4"/>
        <v>0.17081794772942932</v>
      </c>
      <c r="E33" s="3">
        <f t="shared" si="5"/>
        <v>219.19529137641931</v>
      </c>
      <c r="F33" s="29">
        <f t="shared" si="3"/>
        <v>-53.954708623580672</v>
      </c>
    </row>
    <row r="34" spans="2:6" x14ac:dyDescent="0.25">
      <c r="B34" s="17">
        <v>13</v>
      </c>
      <c r="C34" s="27">
        <f t="shared" si="0"/>
        <v>1.5924999999999998E-2</v>
      </c>
      <c r="D34" s="27">
        <f t="shared" si="4"/>
        <v>0.18141395843885519</v>
      </c>
      <c r="E34" s="3">
        <f t="shared" si="5"/>
        <v>222.48531348214792</v>
      </c>
      <c r="F34" s="29">
        <f t="shared" si="3"/>
        <v>-50.664686517852061</v>
      </c>
    </row>
    <row r="35" spans="2:6" x14ac:dyDescent="0.25">
      <c r="B35" s="17">
        <v>12</v>
      </c>
      <c r="C35" s="27">
        <f t="shared" si="0"/>
        <v>1.47E-2</v>
      </c>
      <c r="D35" s="27">
        <f t="shared" si="4"/>
        <v>0.19266060115614467</v>
      </c>
      <c r="E35" s="3">
        <f t="shared" si="5"/>
        <v>225.97941899907502</v>
      </c>
      <c r="F35" s="29">
        <f t="shared" si="3"/>
        <v>-47.170581000924955</v>
      </c>
    </row>
    <row r="36" spans="2:6" x14ac:dyDescent="0.25">
      <c r="B36" s="17">
        <v>11</v>
      </c>
      <c r="C36" s="27">
        <f t="shared" si="0"/>
        <v>1.3474999999999999E-2</v>
      </c>
      <c r="D36" s="27">
        <f t="shared" si="4"/>
        <v>0.20463057106343308</v>
      </c>
      <c r="E36" s="3">
        <f t="shared" si="5"/>
        <v>229.69013936032587</v>
      </c>
      <c r="F36" s="29">
        <f t="shared" si="3"/>
        <v>-43.459860639674105</v>
      </c>
    </row>
    <row r="37" spans="2:6" x14ac:dyDescent="0.25">
      <c r="B37" s="17">
        <v>10</v>
      </c>
      <c r="C37" s="27">
        <f t="shared" si="0"/>
        <v>1.225E-2</v>
      </c>
      <c r="D37" s="27">
        <f t="shared" si="4"/>
        <v>0.21740633602984177</v>
      </c>
      <c r="E37" s="3">
        <f t="shared" si="5"/>
        <v>233.63140613735655</v>
      </c>
      <c r="F37" s="29">
        <f t="shared" si="3"/>
        <v>-39.518593862643428</v>
      </c>
    </row>
    <row r="38" spans="2:6" x14ac:dyDescent="0.25">
      <c r="B38" s="17">
        <v>9</v>
      </c>
      <c r="C38" s="27">
        <f t="shared" si="0"/>
        <v>1.1025E-2</v>
      </c>
      <c r="D38" s="27">
        <f t="shared" si="4"/>
        <v>0.23108181042540868</v>
      </c>
      <c r="E38" s="3">
        <f t="shared" si="5"/>
        <v>237.81873926582037</v>
      </c>
      <c r="F38" s="29">
        <f t="shared" si="3"/>
        <v>-35.331260734179608</v>
      </c>
    </row>
    <row r="39" spans="2:6" x14ac:dyDescent="0.25">
      <c r="B39" s="17">
        <v>8</v>
      </c>
      <c r="C39" s="27">
        <f t="shared" si="0"/>
        <v>9.7999999999999997E-3</v>
      </c>
      <c r="D39" s="27">
        <f t="shared" si="4"/>
        <v>0.24576437096170473</v>
      </c>
      <c r="E39" s="3">
        <f t="shared" si="5"/>
        <v>242.26946750976123</v>
      </c>
      <c r="F39" s="29">
        <f t="shared" si="3"/>
        <v>-30.88053249023875</v>
      </c>
    </row>
    <row r="40" spans="2:6" x14ac:dyDescent="0.25">
      <c r="B40" s="17">
        <v>7</v>
      </c>
      <c r="C40" s="27">
        <f t="shared" si="0"/>
        <v>8.5749999999999993E-3</v>
      </c>
      <c r="D40" s="27">
        <f t="shared" si="4"/>
        <v>0.26157729737896107</v>
      </c>
      <c r="E40" s="3">
        <f t="shared" si="5"/>
        <v>247.00298775170469</v>
      </c>
      <c r="F40" s="29">
        <f t="shared" si="3"/>
        <v>-26.147012248295283</v>
      </c>
    </row>
    <row r="41" spans="2:6" x14ac:dyDescent="0.25">
      <c r="B41" s="17">
        <v>6</v>
      </c>
      <c r="C41" s="27">
        <f t="shared" si="0"/>
        <v>7.3499999999999998E-3</v>
      </c>
      <c r="D41" s="27">
        <f t="shared" si="4"/>
        <v>0.2786627440747152</v>
      </c>
      <c r="E41" s="3">
        <f t="shared" si="5"/>
        <v>252.04107129136111</v>
      </c>
      <c r="F41" s="29">
        <f t="shared" si="3"/>
        <v>-21.108928708638871</v>
      </c>
    </row>
    <row r="42" spans="2:6" x14ac:dyDescent="0.25">
      <c r="B42" s="17">
        <v>5</v>
      </c>
      <c r="C42" s="27">
        <f t="shared" si="0"/>
        <v>6.1250000000000002E-3</v>
      </c>
      <c r="D42" s="27">
        <f t="shared" si="4"/>
        <v>0.2971853795565863</v>
      </c>
      <c r="E42" s="3">
        <f t="shared" si="5"/>
        <v>257.40822737908672</v>
      </c>
      <c r="F42" s="29">
        <f t="shared" si="3"/>
        <v>-15.741772620913252</v>
      </c>
    </row>
    <row r="43" spans="2:6" x14ac:dyDescent="0.25">
      <c r="B43" s="17">
        <v>4</v>
      </c>
      <c r="C43" s="27">
        <f t="shared" si="0"/>
        <v>4.8999999999999998E-3</v>
      </c>
      <c r="D43" s="27">
        <f t="shared" si="4"/>
        <v>0.31733687165844471</v>
      </c>
      <c r="E43" s="3">
        <f t="shared" si="5"/>
        <v>263.13213684666351</v>
      </c>
      <c r="F43" s="29">
        <f t="shared" si="3"/>
        <v>-10.017863153336464</v>
      </c>
    </row>
    <row r="44" spans="2:6" x14ac:dyDescent="0.25">
      <c r="B44" s="17">
        <v>3</v>
      </c>
      <c r="C44" s="27">
        <f t="shared" si="0"/>
        <v>3.6749999999999999E-3</v>
      </c>
      <c r="D44" s="27">
        <f t="shared" si="4"/>
        <v>0.33934145168304108</v>
      </c>
      <c r="E44" s="3">
        <f t="shared" si="5"/>
        <v>269.24417212513896</v>
      </c>
      <c r="F44" s="29">
        <f t="shared" si="3"/>
        <v>-3.9058278748610178</v>
      </c>
    </row>
    <row r="45" spans="2:6" x14ac:dyDescent="0.25">
      <c r="B45" s="17">
        <v>2</v>
      </c>
      <c r="C45" s="27">
        <f t="shared" si="0"/>
        <v>2.4499999999999999E-3</v>
      </c>
      <c r="D45" s="27">
        <f t="shared" si="4"/>
        <v>0.36346286559471397</v>
      </c>
      <c r="E45" s="3">
        <f t="shared" si="5"/>
        <v>275.78002443028225</v>
      </c>
      <c r="F45" s="29">
        <f t="shared" si="3"/>
        <v>2.6300244302822762</v>
      </c>
    </row>
    <row r="46" spans="2:6" x14ac:dyDescent="0.25">
      <c r="B46" s="17">
        <v>1</v>
      </c>
      <c r="C46" s="27">
        <f t="shared" si="0"/>
        <v>1.225E-3</v>
      </c>
      <c r="D46" s="27">
        <f t="shared" si="4"/>
        <v>0.39001312312897035</v>
      </c>
      <c r="E46" s="3">
        <f t="shared" si="5"/>
        <v>282.78046483079675</v>
      </c>
      <c r="F46" s="29">
        <f t="shared" si="3"/>
        <v>9.6304648307967682</v>
      </c>
    </row>
    <row r="47" spans="2:6" ht="15.75" thickBot="1" x14ac:dyDescent="0.3">
      <c r="B47" s="8">
        <v>0</v>
      </c>
      <c r="C47" s="28">
        <f t="shared" si="0"/>
        <v>0</v>
      </c>
      <c r="D47" s="28">
        <f t="shared" si="4"/>
        <v>0.41936359797129719</v>
      </c>
      <c r="E47" s="30">
        <f t="shared" si="5"/>
        <v>290.29227382788787</v>
      </c>
      <c r="F47" s="31">
        <f t="shared" si="3"/>
        <v>17.142273827887891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EB07-006D-4E34-A143-F6FCB6113556}">
  <dimension ref="B3:Q47"/>
  <sheetViews>
    <sheetView topLeftCell="O39" zoomScale="120" zoomScaleNormal="120" workbookViewId="0">
      <selection sqref="A1:Z57"/>
    </sheetView>
  </sheetViews>
  <sheetFormatPr baseColWidth="10" defaultColWidth="9.140625" defaultRowHeight="15" x14ac:dyDescent="0.25"/>
  <cols>
    <col min="3" max="3" width="12.7109375" bestFit="1" customWidth="1"/>
    <col min="4" max="4" width="12.5703125" bestFit="1" customWidth="1"/>
    <col min="5" max="5" width="15.5703125" bestFit="1" customWidth="1"/>
    <col min="6" max="6" width="10.7109375" customWidth="1"/>
    <col min="8" max="8" width="10.28515625" customWidth="1"/>
    <col min="9" max="9" width="12.28515625" bestFit="1" customWidth="1"/>
    <col min="10" max="10" width="11.5703125" bestFit="1" customWidth="1"/>
    <col min="11" max="11" width="14.7109375" bestFit="1" customWidth="1"/>
    <col min="12" max="12" width="10" bestFit="1" customWidth="1"/>
    <col min="13" max="13" width="16.28515625" bestFit="1" customWidth="1"/>
    <col min="14" max="14" width="10.140625" customWidth="1"/>
    <col min="15" max="15" width="19.85546875" customWidth="1"/>
    <col min="16" max="16" width="10.42578125" customWidth="1"/>
    <col min="17" max="17" width="12.5703125" bestFit="1" customWidth="1"/>
  </cols>
  <sheetData>
    <row r="3" spans="2:17" ht="15.75" thickBot="1" x14ac:dyDescent="0.3"/>
    <row r="4" spans="2:17" x14ac:dyDescent="0.25">
      <c r="I4" s="5" t="s">
        <v>5</v>
      </c>
      <c r="J4" s="6" t="s">
        <v>4</v>
      </c>
      <c r="K4" s="7" t="s">
        <v>3</v>
      </c>
      <c r="M4" s="11" t="s">
        <v>0</v>
      </c>
      <c r="N4" s="12" t="s">
        <v>1</v>
      </c>
      <c r="O4" s="12" t="s">
        <v>6</v>
      </c>
      <c r="P4" s="12" t="s">
        <v>2</v>
      </c>
      <c r="Q4" s="13" t="s">
        <v>7</v>
      </c>
    </row>
    <row r="5" spans="2:17" ht="15.75" thickBot="1" x14ac:dyDescent="0.3">
      <c r="I5" s="8">
        <v>9.8000000000000004E-2</v>
      </c>
      <c r="J5" s="9">
        <v>8.2600000000000007E-2</v>
      </c>
      <c r="K5" s="10">
        <v>2.2000000000000001E-3</v>
      </c>
      <c r="M5" s="8">
        <f>5.67037*10^(-8)</f>
        <v>5.67037E-8</v>
      </c>
      <c r="N5" s="9">
        <v>0.8</v>
      </c>
      <c r="O5" s="9">
        <v>5</v>
      </c>
      <c r="P5" s="9">
        <f>I5/2/B7</f>
        <v>1.225E-3</v>
      </c>
      <c r="Q5" s="10">
        <v>3</v>
      </c>
    </row>
    <row r="6" spans="2:17" x14ac:dyDescent="0.25">
      <c r="B6" s="23" t="s">
        <v>8</v>
      </c>
      <c r="C6" s="24" t="s">
        <v>10</v>
      </c>
      <c r="D6" s="24" t="s">
        <v>9</v>
      </c>
      <c r="E6" s="24" t="s">
        <v>12</v>
      </c>
      <c r="F6" s="25" t="s">
        <v>11</v>
      </c>
    </row>
    <row r="7" spans="2:17" ht="15.75" thickBot="1" x14ac:dyDescent="0.3">
      <c r="B7" s="17">
        <v>40</v>
      </c>
      <c r="C7" s="27">
        <f>B7*$P$5</f>
        <v>4.9000000000000002E-2</v>
      </c>
      <c r="D7" s="27">
        <v>0</v>
      </c>
      <c r="E7" s="1">
        <f>F7+273.15</f>
        <v>273.14999999999998</v>
      </c>
      <c r="F7" s="26">
        <f>I9</f>
        <v>0</v>
      </c>
    </row>
    <row r="8" spans="2:17" x14ac:dyDescent="0.25">
      <c r="B8" s="17">
        <v>39</v>
      </c>
      <c r="C8" s="27">
        <f>B8*$P$5</f>
        <v>4.7774999999999998E-2</v>
      </c>
      <c r="D8" s="27">
        <f>D7+$P$5*$J$5*$M$5*$N$5*(E7^4-$Q$5^4)</f>
        <v>2.5551849114891622E-2</v>
      </c>
      <c r="E8" s="3">
        <f>D7/($O$5*$K$5*$J$5)*$P$5+E7</f>
        <v>273.14999999999998</v>
      </c>
      <c r="F8" s="29">
        <f>E8-273.15</f>
        <v>0</v>
      </c>
      <c r="I8" s="14" t="s">
        <v>14</v>
      </c>
      <c r="J8" s="15" t="s">
        <v>17</v>
      </c>
      <c r="K8" s="15" t="s">
        <v>13</v>
      </c>
      <c r="L8" s="15" t="s">
        <v>16</v>
      </c>
      <c r="M8" s="16" t="s">
        <v>15</v>
      </c>
    </row>
    <row r="9" spans="2:17" x14ac:dyDescent="0.25">
      <c r="B9" s="17">
        <v>38</v>
      </c>
      <c r="C9" s="27">
        <f t="shared" ref="C9:C47" si="0">B9*$P$5</f>
        <v>4.6550000000000001E-2</v>
      </c>
      <c r="D9" s="27">
        <f t="shared" ref="D9:D47" si="1">D8+$P$5*$J$5*$M$5*$N$5*(E8^4-$Q$5^4)</f>
        <v>5.1103698229783244E-2</v>
      </c>
      <c r="E9" s="3">
        <f t="shared" ref="E9:E46" si="2">D8/($O$5*$K$5*$J$5)*$P$5+E8</f>
        <v>273.18444971953085</v>
      </c>
      <c r="F9" s="29">
        <f t="shared" ref="F9:F47" si="3">E9-273.15</f>
        <v>3.4449719530869061E-2</v>
      </c>
      <c r="I9" s="17">
        <v>0</v>
      </c>
      <c r="J9" s="3">
        <f>F47</f>
        <v>28.591903303246056</v>
      </c>
      <c r="K9" s="2">
        <f>I5*J5*N5*M5*(E47^4-Q5^4)</f>
        <v>3.0440375514521203</v>
      </c>
      <c r="L9" s="3">
        <f>D47*2</f>
        <v>2.3329840331408613</v>
      </c>
      <c r="M9" s="18">
        <f>L9/K9</f>
        <v>0.7664110556152437</v>
      </c>
    </row>
    <row r="10" spans="2:17" x14ac:dyDescent="0.25">
      <c r="B10" s="17">
        <v>37</v>
      </c>
      <c r="C10" s="27">
        <f t="shared" si="0"/>
        <v>4.5324999999999997E-2</v>
      </c>
      <c r="D10" s="27">
        <f>D9+$P$5*$J$5*$M$5*$N$5*(E9^4-$Q$5^4)</f>
        <v>7.6668440196060186E-2</v>
      </c>
      <c r="E10" s="3">
        <f t="shared" si="2"/>
        <v>273.25334915859258</v>
      </c>
      <c r="F10" s="29">
        <f t="shared" si="3"/>
        <v>0.10334915859260718</v>
      </c>
      <c r="I10" s="17"/>
      <c r="J10" s="2">
        <f>J9</f>
        <v>28.591903303246056</v>
      </c>
      <c r="K10" s="2">
        <f>K9</f>
        <v>3.0440375514521203</v>
      </c>
      <c r="L10" s="4">
        <f>L9</f>
        <v>2.3329840331408613</v>
      </c>
      <c r="M10" s="19">
        <f>M9</f>
        <v>0.7664110556152437</v>
      </c>
    </row>
    <row r="11" spans="2:17" x14ac:dyDescent="0.25">
      <c r="B11" s="17">
        <v>36</v>
      </c>
      <c r="C11" s="27">
        <f t="shared" si="0"/>
        <v>4.41E-2</v>
      </c>
      <c r="D11" s="27">
        <f t="shared" si="1"/>
        <v>0.10225898250169635</v>
      </c>
      <c r="E11" s="3">
        <f t="shared" si="2"/>
        <v>273.35671569968895</v>
      </c>
      <c r="F11" s="29">
        <f t="shared" si="3"/>
        <v>0.20671569968897074</v>
      </c>
      <c r="I11" s="17">
        <v>0</v>
      </c>
      <c r="J11" s="2">
        <f t="dataTable" ref="J11:M26" dt2D="0" dtr="0" r1="I9"/>
        <v>28.591903303246056</v>
      </c>
      <c r="K11" s="2">
        <v>3.0440375514521203</v>
      </c>
      <c r="L11" s="4">
        <v>2.3329840331408613</v>
      </c>
      <c r="M11" s="18">
        <v>0.7664110556152437</v>
      </c>
    </row>
    <row r="12" spans="2:17" x14ac:dyDescent="0.25">
      <c r="B12" s="17">
        <v>35</v>
      </c>
      <c r="C12" s="27">
        <f t="shared" si="0"/>
        <v>4.2874999999999996E-2</v>
      </c>
      <c r="D12" s="27">
        <f t="shared" si="1"/>
        <v>0.12788826844527301</v>
      </c>
      <c r="E12" s="3">
        <f t="shared" si="2"/>
        <v>273.49458412756104</v>
      </c>
      <c r="F12" s="29">
        <f t="shared" si="3"/>
        <v>0.34458412756106327</v>
      </c>
      <c r="I12" s="17">
        <v>5</v>
      </c>
      <c r="J12" s="2">
        <v>35.856261817942595</v>
      </c>
      <c r="K12" s="2">
        <v>3.3479319750206997</v>
      </c>
      <c r="L12" s="4">
        <v>2.5283565383559155</v>
      </c>
      <c r="M12" s="18">
        <v>0.75519949545578302</v>
      </c>
    </row>
    <row r="13" spans="2:17" x14ac:dyDescent="0.25">
      <c r="B13" s="17">
        <v>34</v>
      </c>
      <c r="C13" s="27">
        <f t="shared" si="0"/>
        <v>4.165E-2</v>
      </c>
      <c r="D13" s="27">
        <f t="shared" si="1"/>
        <v>0.15356929840367492</v>
      </c>
      <c r="E13" s="3">
        <f t="shared" si="2"/>
        <v>273.66700667746801</v>
      </c>
      <c r="F13" s="29">
        <f t="shared" si="3"/>
        <v>0.51700667746803219</v>
      </c>
      <c r="I13" s="17">
        <v>10</v>
      </c>
      <c r="J13" s="2">
        <v>43.26211824035687</v>
      </c>
      <c r="K13" s="2">
        <v>3.6806111486311699</v>
      </c>
      <c r="L13" s="4">
        <v>2.7374913770799489</v>
      </c>
      <c r="M13" s="18">
        <v>0.74376000792640917</v>
      </c>
    </row>
    <row r="14" spans="2:17" x14ac:dyDescent="0.25">
      <c r="B14" s="17">
        <v>33</v>
      </c>
      <c r="C14" s="27">
        <f t="shared" si="0"/>
        <v>4.0424999999999996E-2</v>
      </c>
      <c r="D14" s="27">
        <f t="shared" si="1"/>
        <v>0.17931515126005282</v>
      </c>
      <c r="E14" s="3">
        <f t="shared" si="2"/>
        <v>273.87405311214167</v>
      </c>
      <c r="F14" s="29">
        <f t="shared" si="3"/>
        <v>0.72405311214168933</v>
      </c>
      <c r="I14" s="17">
        <v>15</v>
      </c>
      <c r="J14" s="2">
        <v>50.81662838606735</v>
      </c>
      <c r="K14" s="2">
        <v>4.0449076381798124</v>
      </c>
      <c r="L14" s="4">
        <v>2.9612829853538054</v>
      </c>
      <c r="M14" s="18">
        <v>0.73210150892008197</v>
      </c>
    </row>
    <row r="15" spans="2:17" x14ac:dyDescent="0.25">
      <c r="B15" s="17">
        <v>32</v>
      </c>
      <c r="C15" s="27">
        <f t="shared" si="0"/>
        <v>3.9199999999999999E-2</v>
      </c>
      <c r="D15" s="27">
        <f t="shared" si="1"/>
        <v>0.20513900605938384</v>
      </c>
      <c r="E15" s="3">
        <f t="shared" si="2"/>
        <v>274.11581082763092</v>
      </c>
      <c r="F15" s="29">
        <f t="shared" si="3"/>
        <v>0.96581082763094628</v>
      </c>
      <c r="I15" s="17">
        <v>20</v>
      </c>
      <c r="J15" s="2">
        <v>58.527305414841408</v>
      </c>
      <c r="K15" s="2">
        <v>4.4439639915407945</v>
      </c>
      <c r="L15" s="4">
        <v>3.2006912956623177</v>
      </c>
      <c r="M15" s="18">
        <v>0.72023340012541059</v>
      </c>
    </row>
    <row r="16" spans="2:17" x14ac:dyDescent="0.25">
      <c r="B16" s="17">
        <v>31</v>
      </c>
      <c r="C16" s="27">
        <f t="shared" si="0"/>
        <v>3.7975000000000002E-2</v>
      </c>
      <c r="D16" s="27">
        <f t="shared" si="1"/>
        <v>0.2310541639600478</v>
      </c>
      <c r="E16" s="3">
        <f t="shared" si="2"/>
        <v>274.39238498834271</v>
      </c>
      <c r="F16" s="29">
        <f t="shared" si="3"/>
        <v>1.2423849883427351</v>
      </c>
      <c r="I16" s="17">
        <v>25</v>
      </c>
      <c r="J16" s="2">
        <v>66.402044305890286</v>
      </c>
      <c r="K16" s="2">
        <v>4.8812708200795374</v>
      </c>
      <c r="L16" s="4">
        <v>3.4567478113093983</v>
      </c>
      <c r="M16" s="18">
        <v>0.70816554514651431</v>
      </c>
    </row>
    <row r="17" spans="2:13" x14ac:dyDescent="0.25">
      <c r="B17" s="17">
        <v>30</v>
      </c>
      <c r="C17" s="27">
        <f t="shared" si="0"/>
        <v>3.6749999999999998E-2</v>
      </c>
      <c r="D17" s="27">
        <f t="shared" si="1"/>
        <v>0.25707407055127773</v>
      </c>
      <c r="E17" s="3">
        <f t="shared" si="2"/>
        <v>274.70389869167866</v>
      </c>
      <c r="F17" s="29">
        <f t="shared" si="3"/>
        <v>1.5538986916786826</v>
      </c>
      <c r="I17" s="17">
        <v>30</v>
      </c>
      <c r="J17" s="2">
        <v>74.449148528969602</v>
      </c>
      <c r="K17" s="2">
        <v>5.3607100966594183</v>
      </c>
      <c r="L17" s="4">
        <v>3.7305623485440345</v>
      </c>
      <c r="M17" s="18">
        <v>0.69590824373598803</v>
      </c>
    </row>
    <row r="18" spans="2:13" x14ac:dyDescent="0.25">
      <c r="B18" s="17">
        <v>29</v>
      </c>
      <c r="C18" s="27">
        <f t="shared" si="0"/>
        <v>3.5525000000000001E-2</v>
      </c>
      <c r="D18" s="27">
        <f t="shared" si="1"/>
        <v>0.28321233860814621</v>
      </c>
      <c r="E18" s="3">
        <f t="shared" si="2"/>
        <v>275.05049316276092</v>
      </c>
      <c r="F18" s="29">
        <f t="shared" si="3"/>
        <v>1.900493162760938</v>
      </c>
      <c r="I18" s="17">
        <v>35</v>
      </c>
      <c r="J18" s="2">
        <v>82.677359139302666</v>
      </c>
      <c r="K18" s="2">
        <v>5.8866044667526314</v>
      </c>
      <c r="L18" s="4">
        <v>4.0233305303927995</v>
      </c>
      <c r="M18" s="18">
        <v>0.68347220424209776</v>
      </c>
    </row>
    <row r="19" spans="2:13" x14ac:dyDescent="0.25">
      <c r="B19" s="17">
        <v>28</v>
      </c>
      <c r="C19" s="27">
        <f t="shared" si="0"/>
        <v>3.4299999999999997E-2</v>
      </c>
      <c r="D19" s="27">
        <f t="shared" si="1"/>
        <v>0.30948277135792962</v>
      </c>
      <c r="E19" s="3">
        <f t="shared" si="2"/>
        <v>275.4323279798366</v>
      </c>
      <c r="F19" s="29">
        <f t="shared" si="3"/>
        <v>2.2823279798366229</v>
      </c>
      <c r="I19" s="17">
        <v>40</v>
      </c>
      <c r="J19" s="2">
        <v>91.095886551979163</v>
      </c>
      <c r="K19" s="2">
        <v>6.4637735043353368</v>
      </c>
      <c r="L19" s="4">
        <v>4.3363421281686438</v>
      </c>
      <c r="M19" s="18">
        <v>0.67086851438408279</v>
      </c>
    </row>
    <row r="20" spans="2:13" x14ac:dyDescent="0.25">
      <c r="B20" s="17">
        <v>27</v>
      </c>
      <c r="C20" s="27">
        <f t="shared" si="0"/>
        <v>3.3075E-2</v>
      </c>
      <c r="D20" s="27">
        <f t="shared" si="1"/>
        <v>0.33589938633426597</v>
      </c>
      <c r="E20" s="3">
        <f t="shared" si="2"/>
        <v>275.84958133105107</v>
      </c>
      <c r="F20" s="29">
        <f t="shared" si="3"/>
        <v>2.6995813310510925</v>
      </c>
      <c r="I20" s="17">
        <v>45</v>
      </c>
      <c r="J20" s="2">
        <v>99.714445282991221</v>
      </c>
      <c r="K20" s="2">
        <v>7.0975980046087583</v>
      </c>
      <c r="L20" s="4">
        <v>4.6709903605696983</v>
      </c>
      <c r="M20" s="18">
        <v>0.65810861048155089</v>
      </c>
    </row>
    <row r="21" spans="2:13" x14ac:dyDescent="0.25">
      <c r="B21" s="17">
        <v>26</v>
      </c>
      <c r="C21" s="27">
        <f t="shared" si="0"/>
        <v>3.1849999999999996E-2</v>
      </c>
      <c r="D21" s="27">
        <f t="shared" si="1"/>
        <v>0.36247643989850731</v>
      </c>
      <c r="E21" s="3">
        <f t="shared" si="2"/>
        <v>276.30245030338153</v>
      </c>
      <c r="F21" s="29">
        <f t="shared" si="3"/>
        <v>3.1524503033815563</v>
      </c>
      <c r="I21" s="17">
        <v>50</v>
      </c>
      <c r="J21" s="2">
        <v>108.54329197999266</v>
      </c>
      <c r="K21" s="2">
        <v>7.7940935964465492</v>
      </c>
      <c r="L21" s="4">
        <v>5.0287822765006363</v>
      </c>
      <c r="M21" s="18">
        <v>0.64520424527533748</v>
      </c>
    </row>
    <row r="22" spans="2:13" x14ac:dyDescent="0.25">
      <c r="B22" s="17">
        <v>25</v>
      </c>
      <c r="C22" s="27">
        <f t="shared" si="0"/>
        <v>3.0624999999999999E-2</v>
      </c>
      <c r="D22" s="27">
        <f t="shared" si="1"/>
        <v>0.38922845251108951</v>
      </c>
      <c r="E22" s="3">
        <f t="shared" si="2"/>
        <v>276.79115120463143</v>
      </c>
      <c r="F22" s="29">
        <f t="shared" si="3"/>
        <v>3.6411512046314556</v>
      </c>
      <c r="I22" s="17">
        <v>55</v>
      </c>
      <c r="J22" s="2">
        <v>117.59326710694319</v>
      </c>
      <c r="K22" s="2">
        <v>8.5599951852045599</v>
      </c>
      <c r="L22" s="4">
        <v>5.4113503666572873</v>
      </c>
      <c r="M22" s="18">
        <v>0.63216745448764777</v>
      </c>
    </row>
    <row r="23" spans="2:13" x14ac:dyDescent="0.25">
      <c r="B23" s="17">
        <v>24</v>
      </c>
      <c r="C23" s="27">
        <f t="shared" si="0"/>
        <v>2.9399999999999999E-2</v>
      </c>
      <c r="D23" s="27">
        <f t="shared" si="1"/>
        <v>0.41617023483962418</v>
      </c>
      <c r="E23" s="3">
        <f t="shared" si="2"/>
        <v>277.31591991949614</v>
      </c>
      <c r="F23" s="29">
        <f t="shared" si="3"/>
        <v>4.1659199194961616</v>
      </c>
      <c r="I23" s="17">
        <v>60</v>
      </c>
      <c r="J23" s="2">
        <v>126.87584069379102</v>
      </c>
      <c r="K23" s="2">
        <v>9.4028540089745114</v>
      </c>
      <c r="L23" s="4">
        <v>5.8204655710076381</v>
      </c>
      <c r="M23" s="18">
        <v>0.61901052227890818</v>
      </c>
    </row>
    <row r="24" spans="2:13" x14ac:dyDescent="0.25">
      <c r="B24" s="17">
        <v>23</v>
      </c>
      <c r="C24" s="27">
        <f t="shared" si="0"/>
        <v>2.8174999999999999E-2</v>
      </c>
      <c r="D24" s="27">
        <f t="shared" si="1"/>
        <v>0.44331691479479163</v>
      </c>
      <c r="E24" s="3">
        <f t="shared" si="2"/>
        <v>277.87701230082843</v>
      </c>
      <c r="F24" s="29">
        <f t="shared" si="3"/>
        <v>4.7270123008284486</v>
      </c>
      <c r="I24" s="17">
        <v>65</v>
      </c>
      <c r="J24" s="2">
        <v>136.40316261631381</v>
      </c>
      <c r="K24" s="2">
        <v>10.331149418184388</v>
      </c>
      <c r="L24" s="4">
        <v>6.2580518751797918</v>
      </c>
      <c r="M24" s="18">
        <v>0.60574594576714491</v>
      </c>
    </row>
    <row r="25" spans="2:13" x14ac:dyDescent="0.25">
      <c r="B25" s="17">
        <v>22</v>
      </c>
      <c r="C25" s="27">
        <f t="shared" si="0"/>
        <v>2.6949999999999998E-2</v>
      </c>
      <c r="D25" s="27">
        <f t="shared" si="1"/>
        <v>0.47068396559001441</v>
      </c>
      <c r="E25" s="3">
        <f t="shared" si="2"/>
        <v>278.47470459735456</v>
      </c>
      <c r="F25" s="29">
        <f t="shared" si="3"/>
        <v>5.3247045973545823</v>
      </c>
      <c r="I25" s="17">
        <v>70</v>
      </c>
      <c r="J25" s="2">
        <v>146.18811793323516</v>
      </c>
      <c r="K25" s="2">
        <v>11.354417881582831</v>
      </c>
      <c r="L25" s="4">
        <v>6.7262027191496339</v>
      </c>
      <c r="M25" s="18">
        <v>0.59238639878313037</v>
      </c>
    </row>
    <row r="26" spans="2:13" ht="15.75" thickBot="1" x14ac:dyDescent="0.3">
      <c r="B26" s="17">
        <v>21</v>
      </c>
      <c r="C26" s="27">
        <f t="shared" si="0"/>
        <v>2.5724999999999998E-2</v>
      </c>
      <c r="D26" s="27">
        <f t="shared" si="1"/>
        <v>0.49828723492635496</v>
      </c>
      <c r="E26" s="3">
        <f t="shared" si="2"/>
        <v>279.10929391922093</v>
      </c>
      <c r="F26" s="29">
        <f t="shared" si="3"/>
        <v>5.9592939192209542</v>
      </c>
      <c r="I26" s="17">
        <v>75</v>
      </c>
      <c r="J26" s="20">
        <v>156.24438787922963</v>
      </c>
      <c r="K26" s="20">
        <v>12.483402195919595</v>
      </c>
      <c r="L26" s="21">
        <v>7.2271994773861907</v>
      </c>
      <c r="M26" s="22">
        <v>0.57894469504062918</v>
      </c>
    </row>
    <row r="27" spans="2:13" x14ac:dyDescent="0.25">
      <c r="B27" s="17">
        <v>20</v>
      </c>
      <c r="C27" s="27">
        <f t="shared" si="0"/>
        <v>2.4500000000000001E-2</v>
      </c>
      <c r="D27" s="27">
        <f t="shared" si="1"/>
        <v>0.52614297541015487</v>
      </c>
      <c r="E27" s="3">
        <f t="shared" si="2"/>
        <v>279.78109874288896</v>
      </c>
      <c r="F27" s="29">
        <f t="shared" si="3"/>
        <v>6.6310987428889803</v>
      </c>
    </row>
    <row r="28" spans="2:13" x14ac:dyDescent="0.25">
      <c r="B28" s="17">
        <v>19</v>
      </c>
      <c r="C28" s="27">
        <f t="shared" si="0"/>
        <v>2.3275000000000001E-2</v>
      </c>
      <c r="D28" s="27">
        <f t="shared" si="1"/>
        <v>0.55426787631766483</v>
      </c>
      <c r="E28" s="3">
        <f t="shared" si="2"/>
        <v>280.49045945703978</v>
      </c>
      <c r="F28" s="29">
        <f t="shared" si="3"/>
        <v>7.340459457039799</v>
      </c>
    </row>
    <row r="29" spans="2:13" x14ac:dyDescent="0.25">
      <c r="B29" s="17">
        <v>18</v>
      </c>
      <c r="C29" s="27">
        <f t="shared" si="0"/>
        <v>2.205E-2</v>
      </c>
      <c r="D29" s="27">
        <f t="shared" si="1"/>
        <v>0.5826790968283585</v>
      </c>
      <c r="E29" s="3">
        <f t="shared" si="2"/>
        <v>281.23773895130472</v>
      </c>
      <c r="F29" s="29">
        <f t="shared" si="3"/>
        <v>8.0877389513047433</v>
      </c>
    </row>
    <row r="30" spans="2:13" x14ac:dyDescent="0.25">
      <c r="B30" s="17">
        <v>17</v>
      </c>
      <c r="C30" s="27">
        <f t="shared" si="0"/>
        <v>2.0825E-2</v>
      </c>
      <c r="D30" s="27">
        <f t="shared" si="1"/>
        <v>0.61139430085684532</v>
      </c>
      <c r="E30" s="3">
        <f t="shared" si="2"/>
        <v>282.0233232498021</v>
      </c>
      <c r="F30" s="29">
        <f t="shared" si="3"/>
        <v>8.8733232498021266</v>
      </c>
    </row>
    <row r="31" spans="2:13" x14ac:dyDescent="0.25">
      <c r="B31" s="17">
        <v>16</v>
      </c>
      <c r="C31" s="27">
        <f t="shared" si="0"/>
        <v>1.9599999999999999E-2</v>
      </c>
      <c r="D31" s="27">
        <f t="shared" si="1"/>
        <v>0.64043169362236052</v>
      </c>
      <c r="E31" s="3">
        <f t="shared" si="2"/>
        <v>282.84762219163531</v>
      </c>
      <c r="F31" s="29">
        <f t="shared" si="3"/>
        <v>9.6976221916353325</v>
      </c>
      <c r="K31" s="2"/>
    </row>
    <row r="32" spans="2:13" x14ac:dyDescent="0.25">
      <c r="B32" s="17">
        <v>15</v>
      </c>
      <c r="C32" s="27">
        <f t="shared" si="0"/>
        <v>1.8374999999999999E-2</v>
      </c>
      <c r="D32" s="27">
        <f t="shared" si="1"/>
        <v>0.66981006010480149</v>
      </c>
      <c r="E32" s="3">
        <f t="shared" si="2"/>
        <v>283.71107016069476</v>
      </c>
      <c r="F32" s="29">
        <f t="shared" si="3"/>
        <v>10.561070160694783</v>
      </c>
    </row>
    <row r="33" spans="2:6" x14ac:dyDescent="0.25">
      <c r="B33" s="17">
        <v>14</v>
      </c>
      <c r="C33" s="27">
        <f t="shared" si="0"/>
        <v>1.7149999999999999E-2</v>
      </c>
      <c r="D33" s="27">
        <f t="shared" si="1"/>
        <v>0.69954880554727494</v>
      </c>
      <c r="E33" s="3">
        <f t="shared" si="2"/>
        <v>284.61412686730756</v>
      </c>
      <c r="F33" s="29">
        <f t="shared" si="3"/>
        <v>11.464126867307584</v>
      </c>
    </row>
    <row r="34" spans="2:6" x14ac:dyDescent="0.25">
      <c r="B34" s="17">
        <v>13</v>
      </c>
      <c r="C34" s="27">
        <f t="shared" si="0"/>
        <v>1.5924999999999998E-2</v>
      </c>
      <c r="D34" s="27">
        <f t="shared" si="1"/>
        <v>0.72966799817722638</v>
      </c>
      <c r="E34" s="3">
        <f t="shared" si="2"/>
        <v>285.55727818449378</v>
      </c>
      <c r="F34" s="29">
        <f t="shared" si="3"/>
        <v>12.407278184493805</v>
      </c>
    </row>
    <row r="35" spans="2:6" x14ac:dyDescent="0.25">
      <c r="B35" s="17">
        <v>12</v>
      </c>
      <c r="C35" s="27">
        <f t="shared" si="0"/>
        <v>1.47E-2</v>
      </c>
      <c r="D35" s="27">
        <f t="shared" si="1"/>
        <v>0.76018841433154272</v>
      </c>
      <c r="E35" s="3">
        <f t="shared" si="2"/>
        <v>286.54103704182057</v>
      </c>
      <c r="F35" s="29">
        <f t="shared" si="3"/>
        <v>13.391037041820596</v>
      </c>
    </row>
    <row r="36" spans="2:6" x14ac:dyDescent="0.25">
      <c r="B36" s="17">
        <v>11</v>
      </c>
      <c r="C36" s="27">
        <f t="shared" si="0"/>
        <v>1.3474999999999999E-2</v>
      </c>
      <c r="D36" s="27">
        <f t="shared" si="1"/>
        <v>0.79113158618567769</v>
      </c>
      <c r="E36" s="3">
        <f t="shared" si="2"/>
        <v>287.565944380095</v>
      </c>
      <c r="F36" s="29">
        <f t="shared" si="3"/>
        <v>14.415944380095027</v>
      </c>
    </row>
    <row r="37" spans="2:6" x14ac:dyDescent="0.25">
      <c r="B37" s="17">
        <v>10</v>
      </c>
      <c r="C37" s="27">
        <f t="shared" si="0"/>
        <v>1.225E-2</v>
      </c>
      <c r="D37" s="27">
        <f t="shared" si="1"/>
        <v>0.8225198523029803</v>
      </c>
      <c r="E37" s="3">
        <f t="shared" si="2"/>
        <v>288.63257017040695</v>
      </c>
      <c r="F37" s="29">
        <f t="shared" si="3"/>
        <v>15.482570170406973</v>
      </c>
    </row>
    <row r="38" spans="2:6" x14ac:dyDescent="0.25">
      <c r="B38" s="17">
        <v>9</v>
      </c>
      <c r="C38" s="27">
        <f t="shared" si="0"/>
        <v>1.1025E-2</v>
      </c>
      <c r="D38" s="27">
        <f t="shared" si="1"/>
        <v>0.85437641123816399</v>
      </c>
      <c r="E38" s="3">
        <f t="shared" si="2"/>
        <v>289.74151450132393</v>
      </c>
      <c r="F38" s="29">
        <f t="shared" si="3"/>
        <v>16.591514501323957</v>
      </c>
    </row>
    <row r="39" spans="2:6" x14ac:dyDescent="0.25">
      <c r="B39" s="17">
        <v>8</v>
      </c>
      <c r="C39" s="27">
        <f t="shared" si="0"/>
        <v>9.7999999999999997E-3</v>
      </c>
      <c r="D39" s="27">
        <f t="shared" si="1"/>
        <v>0.88672537844840749</v>
      </c>
      <c r="E39" s="3">
        <f t="shared" si="2"/>
        <v>290.89340873835533</v>
      </c>
      <c r="F39" s="29">
        <f t="shared" si="3"/>
        <v>17.743408738355356</v>
      </c>
    </row>
    <row r="40" spans="2:6" x14ac:dyDescent="0.25">
      <c r="B40" s="17">
        <v>7</v>
      </c>
      <c r="C40" s="27">
        <f t="shared" si="0"/>
        <v>8.5749999999999993E-3</v>
      </c>
      <c r="D40" s="27">
        <f t="shared" si="1"/>
        <v>0.91959184678711747</v>
      </c>
      <c r="E40" s="3">
        <f t="shared" si="2"/>
        <v>292.08891676014633</v>
      </c>
      <c r="F40" s="29">
        <f t="shared" si="3"/>
        <v>18.938916760146356</v>
      </c>
    </row>
    <row r="41" spans="2:6" x14ac:dyDescent="0.25">
      <c r="B41" s="17">
        <v>6</v>
      </c>
      <c r="C41" s="27">
        <f t="shared" si="0"/>
        <v>7.3499999999999998E-3</v>
      </c>
      <c r="D41" s="27">
        <f t="shared" si="1"/>
        <v>0.95300195087912642</v>
      </c>
      <c r="E41" s="3">
        <f t="shared" si="2"/>
        <v>293.32873627623064</v>
      </c>
      <c r="F41" s="29">
        <f t="shared" si="3"/>
        <v>20.178736276230666</v>
      </c>
    </row>
    <row r="42" spans="2:6" x14ac:dyDescent="0.25">
      <c r="B42" s="17">
        <v>5</v>
      </c>
      <c r="C42" s="27">
        <f t="shared" si="0"/>
        <v>6.1250000000000002E-3</v>
      </c>
      <c r="D42" s="27">
        <f t="shared" si="1"/>
        <v>0.98698293570228246</v>
      </c>
      <c r="E42" s="3">
        <f t="shared" si="2"/>
        <v>294.61360023157613</v>
      </c>
      <c r="F42" s="29">
        <f t="shared" si="3"/>
        <v>21.463600231576152</v>
      </c>
    </row>
    <row r="43" spans="2:6" x14ac:dyDescent="0.25">
      <c r="B43" s="17">
        <v>4</v>
      </c>
      <c r="C43" s="27">
        <f t="shared" si="0"/>
        <v>4.8999999999999998E-3</v>
      </c>
      <c r="D43" s="27">
        <f t="shared" si="1"/>
        <v>1.0215632297292854</v>
      </c>
      <c r="E43" s="3">
        <f t="shared" si="2"/>
        <v>295.94427830359382</v>
      </c>
      <c r="F43" s="29">
        <f t="shared" si="3"/>
        <v>22.794278303593842</v>
      </c>
    </row>
    <row r="44" spans="2:6" x14ac:dyDescent="0.25">
      <c r="B44" s="17">
        <v>3</v>
      </c>
      <c r="C44" s="27">
        <f t="shared" si="0"/>
        <v>3.6749999999999999E-3</v>
      </c>
      <c r="D44" s="27">
        <f t="shared" si="1"/>
        <v>1.0567725230155367</v>
      </c>
      <c r="E44" s="3">
        <f t="shared" si="2"/>
        <v>297.32157849775888</v>
      </c>
      <c r="F44" s="29">
        <f t="shared" si="3"/>
        <v>24.171578497758901</v>
      </c>
    </row>
    <row r="45" spans="2:6" x14ac:dyDescent="0.25">
      <c r="B45" s="17">
        <v>2</v>
      </c>
      <c r="C45" s="27">
        <f t="shared" si="0"/>
        <v>2.4499999999999999E-3</v>
      </c>
      <c r="D45" s="27">
        <f t="shared" si="1"/>
        <v>1.0926418506540465</v>
      </c>
      <c r="E45" s="3">
        <f t="shared" si="2"/>
        <v>298.74634884851173</v>
      </c>
      <c r="F45" s="29">
        <f t="shared" si="3"/>
        <v>25.596348848511752</v>
      </c>
    </row>
    <row r="46" spans="2:6" x14ac:dyDescent="0.25">
      <c r="B46" s="17">
        <v>1</v>
      </c>
      <c r="C46" s="27">
        <f t="shared" si="0"/>
        <v>1.225E-3</v>
      </c>
      <c r="D46" s="27">
        <f t="shared" si="1"/>
        <v>1.1292036820574547</v>
      </c>
      <c r="E46" s="3">
        <f t="shared" si="2"/>
        <v>300.2194792326755</v>
      </c>
      <c r="F46" s="29">
        <f t="shared" si="3"/>
        <v>27.069479232675519</v>
      </c>
    </row>
    <row r="47" spans="2:6" ht="15.75" thickBot="1" x14ac:dyDescent="0.3">
      <c r="B47" s="8">
        <v>0</v>
      </c>
      <c r="C47" s="28">
        <f t="shared" si="0"/>
        <v>0</v>
      </c>
      <c r="D47" s="28">
        <f t="shared" si="1"/>
        <v>1.1664920165704307</v>
      </c>
      <c r="E47" s="30">
        <f>D46/($O$5*$K$5*$J$5)*$P$5+E46</f>
        <v>301.74190330324603</v>
      </c>
      <c r="F47" s="31">
        <f t="shared" si="3"/>
        <v>28.591903303246056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2F20-9EA9-44E0-8114-18F2FD213480}">
  <dimension ref="B3:AL47"/>
  <sheetViews>
    <sheetView tabSelected="1" topLeftCell="P1" workbookViewId="0">
      <selection activeCell="AH32" sqref="AH32"/>
    </sheetView>
  </sheetViews>
  <sheetFormatPr baseColWidth="10" defaultRowHeight="15" x14ac:dyDescent="0.25"/>
  <sheetData>
    <row r="3" spans="2:38" ht="15.75" thickBot="1" x14ac:dyDescent="0.3"/>
    <row r="4" spans="2:38" x14ac:dyDescent="0.25">
      <c r="I4" s="5" t="s">
        <v>5</v>
      </c>
      <c r="J4" s="6" t="s">
        <v>4</v>
      </c>
      <c r="K4" s="7" t="s">
        <v>3</v>
      </c>
      <c r="M4" s="11" t="s">
        <v>0</v>
      </c>
      <c r="N4" s="12" t="s">
        <v>1</v>
      </c>
      <c r="O4" s="12" t="s">
        <v>6</v>
      </c>
      <c r="P4" s="12" t="s">
        <v>2</v>
      </c>
      <c r="Q4" s="13" t="s">
        <v>7</v>
      </c>
      <c r="AD4" s="5" t="s">
        <v>5</v>
      </c>
      <c r="AE4" s="6" t="s">
        <v>4</v>
      </c>
      <c r="AF4" s="7" t="s">
        <v>3</v>
      </c>
      <c r="AH4" s="11" t="s">
        <v>0</v>
      </c>
      <c r="AI4" s="12" t="s">
        <v>1</v>
      </c>
      <c r="AJ4" s="12" t="s">
        <v>6</v>
      </c>
      <c r="AK4" s="12" t="s">
        <v>2</v>
      </c>
      <c r="AL4" s="13" t="s">
        <v>7</v>
      </c>
    </row>
    <row r="5" spans="2:38" ht="15.75" thickBot="1" x14ac:dyDescent="0.3">
      <c r="I5" s="8">
        <v>9.8000000000000004E-2</v>
      </c>
      <c r="J5" s="9">
        <v>8.2600000000000007E-2</v>
      </c>
      <c r="K5" s="10">
        <v>2.2000000000000001E-3</v>
      </c>
      <c r="M5" s="8">
        <f>5.67037*10^(-8)</f>
        <v>5.67037E-8</v>
      </c>
      <c r="N5" s="9">
        <v>0.86</v>
      </c>
      <c r="O5" s="9">
        <v>5</v>
      </c>
      <c r="P5" s="9">
        <f>I5/2/B7</f>
        <v>1.1951219512195122E-3</v>
      </c>
      <c r="Q5" s="10">
        <v>3</v>
      </c>
      <c r="AD5" s="8">
        <v>9.8000000000000004E-2</v>
      </c>
      <c r="AE5" s="9">
        <v>8.2600000000000007E-2</v>
      </c>
      <c r="AF5" s="10">
        <v>2.2000000000000001E-3</v>
      </c>
      <c r="AH5" s="8">
        <f>5.67037*10^(-8)</f>
        <v>5.67037E-8</v>
      </c>
      <c r="AI5" s="9">
        <v>0.86</v>
      </c>
      <c r="AJ5" s="9">
        <v>5</v>
      </c>
      <c r="AK5" s="9">
        <f>AD5/2/W7</f>
        <v>1.6333333333333335E-2</v>
      </c>
      <c r="AL5" s="10">
        <v>3</v>
      </c>
    </row>
    <row r="6" spans="2:38" x14ac:dyDescent="0.25">
      <c r="B6" s="23" t="s">
        <v>8</v>
      </c>
      <c r="C6" s="24" t="s">
        <v>10</v>
      </c>
      <c r="D6" s="24" t="s">
        <v>9</v>
      </c>
      <c r="E6" s="24" t="s">
        <v>12</v>
      </c>
      <c r="F6" s="25" t="s">
        <v>11</v>
      </c>
      <c r="W6" s="23" t="s">
        <v>8</v>
      </c>
      <c r="X6" s="24" t="s">
        <v>10</v>
      </c>
      <c r="Y6" s="24" t="s">
        <v>9</v>
      </c>
      <c r="Z6" s="24" t="s">
        <v>12</v>
      </c>
      <c r="AA6" s="25" t="s">
        <v>11</v>
      </c>
    </row>
    <row r="7" spans="2:38" ht="15.75" thickBot="1" x14ac:dyDescent="0.3">
      <c r="B7" s="17">
        <v>41</v>
      </c>
      <c r="C7" s="27">
        <f>B7*$P$5</f>
        <v>4.9000000000000002E-2</v>
      </c>
      <c r="D7" s="27">
        <f>$P$5*$J$5*$M$5*$N$5*(E7^4-$Q$5^4)</f>
        <v>2.6798280779032672E-2</v>
      </c>
      <c r="E7" s="1">
        <f>F7+273.15</f>
        <v>273.14999999999998</v>
      </c>
      <c r="F7" s="26">
        <f>I9</f>
        <v>0</v>
      </c>
      <c r="W7" s="17">
        <v>3</v>
      </c>
      <c r="X7" s="27">
        <f>W7*$P$5</f>
        <v>3.5853658536585363E-3</v>
      </c>
      <c r="Y7" s="27">
        <f>$AK$5*$AE$5*$AH$5*$AI$5*(Z7^4-$AL$5^4)</f>
        <v>0.36624317064677997</v>
      </c>
      <c r="Z7" s="1">
        <f>AA7+273.15</f>
        <v>273.14999999999998</v>
      </c>
      <c r="AA7" s="26">
        <f>AD9</f>
        <v>0</v>
      </c>
    </row>
    <row r="8" spans="2:38" x14ac:dyDescent="0.25">
      <c r="B8" s="17">
        <v>40</v>
      </c>
      <c r="C8" s="27">
        <f>B8*$P$5</f>
        <v>4.7804878048780489E-2</v>
      </c>
      <c r="D8" s="27">
        <f>D7+$P$5*$J$5*$M$5*$N$5*(E8^4-$Q$5^4)</f>
        <v>5.3610397101275686E-2</v>
      </c>
      <c r="E8" s="3">
        <f>D7/($O$5*$K$5*$J$5)*$P$5+E7</f>
        <v>273.18524896941881</v>
      </c>
      <c r="F8" s="29">
        <f>E8-273.15</f>
        <v>3.5248969418830711E-2</v>
      </c>
      <c r="I8" s="14" t="s">
        <v>14</v>
      </c>
      <c r="J8" s="15" t="s">
        <v>17</v>
      </c>
      <c r="K8" s="15" t="s">
        <v>13</v>
      </c>
      <c r="L8" s="15" t="s">
        <v>16</v>
      </c>
      <c r="M8" s="16" t="s">
        <v>15</v>
      </c>
      <c r="W8" s="17">
        <v>2</v>
      </c>
      <c r="X8" s="27">
        <f>W8*$P$5</f>
        <v>2.3902439024390243E-3</v>
      </c>
      <c r="Y8" s="27">
        <f>Y7+$AK$5*$AE$5*$AH$5*$AI$5*(Z8^4-$AL$5^4)</f>
        <v>0.76909378041997223</v>
      </c>
      <c r="Z8" s="3">
        <f>Y7/($AJ$5*$AF$5*$AE$5)*$AK$5+Z7</f>
        <v>279.73372417700938</v>
      </c>
      <c r="AA8" s="29">
        <f>Z8-273.15</f>
        <v>6.583724177009401</v>
      </c>
      <c r="AD8" s="14" t="s">
        <v>14</v>
      </c>
      <c r="AE8" s="15" t="s">
        <v>17</v>
      </c>
      <c r="AF8" s="15" t="s">
        <v>13</v>
      </c>
      <c r="AG8" s="15" t="s">
        <v>16</v>
      </c>
      <c r="AH8" s="16" t="s">
        <v>15</v>
      </c>
    </row>
    <row r="9" spans="2:38" x14ac:dyDescent="0.25">
      <c r="B9" s="17">
        <v>39</v>
      </c>
      <c r="C9" s="27">
        <f t="shared" ref="C9:C47" si="0">B9*$P$5</f>
        <v>4.6609756097560975E-2</v>
      </c>
      <c r="D9" s="27">
        <f t="shared" ref="D9:D47" si="1">D8+$P$5*$J$5*$M$5*$N$5*(E9^4-$Q$5^4)</f>
        <v>8.0450207731172507E-2</v>
      </c>
      <c r="E9" s="3">
        <f>D8/($O$5*$K$5*$J$5)*$P$5+E8</f>
        <v>273.25576510676126</v>
      </c>
      <c r="F9" s="29">
        <f t="shared" ref="F9:F47" si="2">E9-273.15</f>
        <v>0.10576510676128237</v>
      </c>
      <c r="I9" s="17">
        <v>0</v>
      </c>
      <c r="J9" s="3">
        <f>F47</f>
        <v>31.146438546992897</v>
      </c>
      <c r="K9" s="2">
        <f>I5*J5*N5*M5*(E47^4-Q5^4)</f>
        <v>3.3845695751647833</v>
      </c>
      <c r="L9" s="3">
        <f>D47*2</f>
        <v>2.5662998309981719</v>
      </c>
      <c r="M9" s="18">
        <f>L9/K9</f>
        <v>0.75823521248583803</v>
      </c>
      <c r="W9" s="17">
        <v>1</v>
      </c>
      <c r="X9" s="27">
        <f>W9*$P$5</f>
        <v>1.1951219512195122E-3</v>
      </c>
      <c r="Y9" s="27">
        <f>Y8+$AK$5*$AE$5*$AH$5*$AI$5*(Z9^4-$AL$5^4)</f>
        <v>1.2576873480524049</v>
      </c>
      <c r="Z9" s="3">
        <f>Y8/($AJ$5*$AF$5*$AE$5)*$AK$5+Z8</f>
        <v>293.55924154460007</v>
      </c>
      <c r="AA9" s="29">
        <f>Z9-273.15</f>
        <v>20.409241544600093</v>
      </c>
      <c r="AD9" s="17">
        <v>0</v>
      </c>
      <c r="AE9" s="3">
        <f>AA9</f>
        <v>20.409241544600093</v>
      </c>
      <c r="AF9" s="2">
        <f>AD5*AE5*AI5*AH5*((AE9+273.15)^4-AL5^4)</f>
        <v>2.9315614057945956</v>
      </c>
      <c r="AG9" s="3">
        <f>Y9*2</f>
        <v>2.5153746961048098</v>
      </c>
      <c r="AH9" s="18">
        <f>AG9/AF9</f>
        <v>0.85803240932728175</v>
      </c>
    </row>
    <row r="10" spans="2:38" x14ac:dyDescent="0.25">
      <c r="B10" s="17">
        <v>38</v>
      </c>
      <c r="C10" s="27">
        <f t="shared" si="0"/>
        <v>4.5414634146341462E-2</v>
      </c>
      <c r="D10" s="27">
        <f t="shared" si="1"/>
        <v>0.10733161794992083</v>
      </c>
      <c r="E10" s="3">
        <f t="shared" ref="E10:E46" si="3">D9/($O$5*$K$5*$J$5)*$P$5+E9</f>
        <v>273.36158483958064</v>
      </c>
      <c r="F10" s="29">
        <f t="shared" si="2"/>
        <v>0.21158483958066654</v>
      </c>
      <c r="I10" s="17"/>
      <c r="J10" s="2">
        <f>J9</f>
        <v>31.146438546992897</v>
      </c>
      <c r="K10" s="2">
        <f>K9</f>
        <v>3.3845695751647833</v>
      </c>
      <c r="L10" s="4">
        <f>L9</f>
        <v>2.5662998309981719</v>
      </c>
      <c r="M10" s="19">
        <f>M9</f>
        <v>0.75823521248583803</v>
      </c>
      <c r="W10" s="17"/>
      <c r="X10" s="27"/>
      <c r="Y10" s="27"/>
      <c r="Z10" s="3"/>
      <c r="AA10" s="29"/>
      <c r="AD10" s="17"/>
      <c r="AE10" s="2">
        <f>AE9</f>
        <v>20.409241544600093</v>
      </c>
      <c r="AF10" s="2">
        <f>AF9</f>
        <v>2.9315614057945956</v>
      </c>
      <c r="AG10" s="4">
        <f>AG9</f>
        <v>2.5153746961048098</v>
      </c>
      <c r="AH10" s="19">
        <f>AH9</f>
        <v>0.85803240932728175</v>
      </c>
    </row>
    <row r="11" spans="2:38" x14ac:dyDescent="0.25">
      <c r="B11" s="17">
        <v>37</v>
      </c>
      <c r="C11" s="27">
        <f t="shared" si="0"/>
        <v>4.4219512195121949E-2</v>
      </c>
      <c r="D11" s="27">
        <f t="shared" si="1"/>
        <v>0.13426860299995771</v>
      </c>
      <c r="E11" s="3">
        <f t="shared" si="3"/>
        <v>273.50276288566459</v>
      </c>
      <c r="F11" s="29">
        <f t="shared" si="2"/>
        <v>0.35276288566461744</v>
      </c>
      <c r="I11" s="17">
        <v>0</v>
      </c>
      <c r="J11" s="2">
        <v>28.591903303246056</v>
      </c>
      <c r="K11" s="2">
        <v>3.0440375514521203</v>
      </c>
      <c r="L11" s="4">
        <v>2.3329840331408613</v>
      </c>
      <c r="M11" s="18">
        <v>0.7664110556152437</v>
      </c>
      <c r="W11" s="17"/>
      <c r="X11" s="27"/>
      <c r="Y11" s="27"/>
      <c r="Z11" s="3"/>
      <c r="AA11" s="29"/>
      <c r="AD11" s="17">
        <v>0</v>
      </c>
      <c r="AE11" s="2">
        <f t="dataTable" ref="AE11:AH26" dt2D="0" dtr="0" r1="AD9"/>
        <v>20.409241544600093</v>
      </c>
      <c r="AF11" s="2">
        <v>2.9315614057945956</v>
      </c>
      <c r="AG11" s="4">
        <v>2.5153746961048098</v>
      </c>
      <c r="AH11" s="18">
        <v>0.85803240932728175</v>
      </c>
    </row>
    <row r="12" spans="2:38" x14ac:dyDescent="0.25">
      <c r="B12" s="17">
        <v>36</v>
      </c>
      <c r="C12" s="27">
        <f t="shared" si="0"/>
        <v>4.3024390243902436E-2</v>
      </c>
      <c r="D12" s="27">
        <f t="shared" si="1"/>
        <v>0.16127523175386294</v>
      </c>
      <c r="E12" s="3">
        <f t="shared" si="3"/>
        <v>273.67937234505797</v>
      </c>
      <c r="F12" s="29">
        <f t="shared" si="2"/>
        <v>0.52937234505799324</v>
      </c>
      <c r="I12" s="17">
        <v>5</v>
      </c>
      <c r="J12" s="2">
        <v>35.856261817942595</v>
      </c>
      <c r="K12" s="2">
        <v>3.3479319750206997</v>
      </c>
      <c r="L12" s="4">
        <v>2.5283565383559155</v>
      </c>
      <c r="M12" s="18">
        <v>0.75519949545578302</v>
      </c>
      <c r="W12" s="17"/>
      <c r="X12" s="27"/>
      <c r="Y12" s="27"/>
      <c r="Z12" s="3"/>
      <c r="AA12" s="29"/>
      <c r="AD12" s="17">
        <v>5</v>
      </c>
      <c r="AE12" s="2">
        <v>26.986216125922624</v>
      </c>
      <c r="AF12" s="2">
        <v>3.203240745605175</v>
      </c>
      <c r="AG12" s="4">
        <v>2.7262609617869158</v>
      </c>
      <c r="AH12" s="18">
        <v>0.85109461895030136</v>
      </c>
    </row>
    <row r="13" spans="2:38" x14ac:dyDescent="0.25">
      <c r="B13" s="17">
        <v>35</v>
      </c>
      <c r="C13" s="27">
        <f t="shared" si="0"/>
        <v>4.1829268292682929E-2</v>
      </c>
      <c r="D13" s="27">
        <f t="shared" si="1"/>
        <v>0.18836569068431036</v>
      </c>
      <c r="E13" s="3">
        <f t="shared" si="3"/>
        <v>273.89150482321895</v>
      </c>
      <c r="F13" s="29">
        <f t="shared" si="2"/>
        <v>0.74150482321897471</v>
      </c>
      <c r="I13" s="17">
        <v>10</v>
      </c>
      <c r="J13" s="2">
        <v>43.26211824035687</v>
      </c>
      <c r="K13" s="2">
        <v>3.6806111486311699</v>
      </c>
      <c r="L13" s="4">
        <v>2.7374913770799489</v>
      </c>
      <c r="M13" s="18">
        <v>0.74376000792640917</v>
      </c>
      <c r="W13" s="17"/>
      <c r="X13" s="27"/>
      <c r="Y13" s="27"/>
      <c r="Z13" s="3"/>
      <c r="AA13" s="29"/>
      <c r="AD13" s="17">
        <v>10</v>
      </c>
      <c r="AE13" s="2">
        <v>33.656157208798959</v>
      </c>
      <c r="AF13" s="2">
        <v>3.4976170138722416</v>
      </c>
      <c r="AG13" s="4">
        <v>2.9520018575146132</v>
      </c>
      <c r="AH13" s="18">
        <v>0.84400374478005724</v>
      </c>
    </row>
    <row r="14" spans="2:38" x14ac:dyDescent="0.25">
      <c r="B14" s="17">
        <v>34</v>
      </c>
      <c r="C14" s="27">
        <f t="shared" si="0"/>
        <v>4.0634146341463416E-2</v>
      </c>
      <c r="D14" s="27">
        <f t="shared" si="1"/>
        <v>0.21555430821327828</v>
      </c>
      <c r="E14" s="3">
        <f t="shared" si="3"/>
        <v>274.13927058570346</v>
      </c>
      <c r="F14" s="29">
        <f t="shared" si="2"/>
        <v>0.98927058570347981</v>
      </c>
      <c r="I14" s="17">
        <v>15</v>
      </c>
      <c r="J14" s="2">
        <v>50.81662838606735</v>
      </c>
      <c r="K14" s="2">
        <v>4.0449076381798124</v>
      </c>
      <c r="L14" s="4">
        <v>2.9612829853538054</v>
      </c>
      <c r="M14" s="18">
        <v>0.73210150892008197</v>
      </c>
      <c r="W14" s="17"/>
      <c r="X14" s="27"/>
      <c r="Y14" s="27"/>
      <c r="Z14" s="3"/>
      <c r="AA14" s="29"/>
      <c r="AD14" s="17">
        <v>15</v>
      </c>
      <c r="AE14" s="2">
        <v>40.423091512502879</v>
      </c>
      <c r="AF14" s="2">
        <v>3.8165514350497665</v>
      </c>
      <c r="AG14" s="4">
        <v>3.1935550077061823</v>
      </c>
      <c r="AH14" s="18">
        <v>0.83676456666554511</v>
      </c>
    </row>
    <row r="15" spans="2:38" x14ac:dyDescent="0.25">
      <c r="B15" s="17">
        <v>33</v>
      </c>
      <c r="C15" s="27">
        <f t="shared" si="0"/>
        <v>3.9439024390243903E-2</v>
      </c>
      <c r="D15" s="27">
        <f t="shared" si="1"/>
        <v>0.24285557952072936</v>
      </c>
      <c r="E15" s="3">
        <f t="shared" si="3"/>
        <v>274.42279874487758</v>
      </c>
      <c r="F15" s="29">
        <f t="shared" si="2"/>
        <v>1.2727987448776048</v>
      </c>
      <c r="I15" s="17">
        <v>20</v>
      </c>
      <c r="J15" s="2">
        <v>58.527305414841408</v>
      </c>
      <c r="K15" s="2">
        <v>4.4439639915407945</v>
      </c>
      <c r="L15" s="4">
        <v>3.2006912956623177</v>
      </c>
      <c r="M15" s="18">
        <v>0.72023340012541059</v>
      </c>
      <c r="W15" s="17"/>
      <c r="X15" s="27"/>
      <c r="Y15" s="27"/>
      <c r="Z15" s="3"/>
      <c r="AA15" s="29"/>
      <c r="AD15" s="17">
        <v>20</v>
      </c>
      <c r="AE15" s="2">
        <v>47.291182818790901</v>
      </c>
      <c r="AF15" s="2">
        <v>4.1620689795975148</v>
      </c>
      <c r="AG15" s="4">
        <v>3.4519458942400876</v>
      </c>
      <c r="AH15" s="18">
        <v>0.82938219216489339</v>
      </c>
    </row>
    <row r="16" spans="2:38" x14ac:dyDescent="0.25">
      <c r="B16" s="17">
        <v>32</v>
      </c>
      <c r="C16" s="27">
        <f t="shared" si="0"/>
        <v>3.824390243902439E-2</v>
      </c>
      <c r="D16" s="27">
        <f t="shared" si="1"/>
        <v>0.2702841918954047</v>
      </c>
      <c r="E16" s="3">
        <f t="shared" si="3"/>
        <v>274.74223747926163</v>
      </c>
      <c r="F16" s="29">
        <f t="shared" si="2"/>
        <v>1.5922374792616552</v>
      </c>
      <c r="I16" s="17">
        <v>25</v>
      </c>
      <c r="J16" s="2">
        <v>66.402044305890286</v>
      </c>
      <c r="K16" s="2">
        <v>4.8812708200795374</v>
      </c>
      <c r="L16" s="4">
        <v>3.4567478113093983</v>
      </c>
      <c r="M16" s="18">
        <v>0.70816554514651431</v>
      </c>
      <c r="W16" s="17"/>
      <c r="X16" s="27"/>
      <c r="Y16" s="27"/>
      <c r="Z16" s="3"/>
      <c r="AA16" s="29"/>
      <c r="AD16" s="17">
        <v>25</v>
      </c>
      <c r="AE16" s="2">
        <v>54.264737525551425</v>
      </c>
      <c r="AF16" s="2">
        <v>4.5363741283853232</v>
      </c>
      <c r="AG16" s="4">
        <v>3.7282737291395245</v>
      </c>
      <c r="AH16" s="18">
        <v>0.82186204744681546</v>
      </c>
    </row>
    <row r="17" spans="2:34" x14ac:dyDescent="0.25">
      <c r="B17" s="17">
        <v>31</v>
      </c>
      <c r="C17" s="27">
        <f t="shared" si="0"/>
        <v>3.7048780487804876E-2</v>
      </c>
      <c r="D17" s="27">
        <f t="shared" si="1"/>
        <v>0.29785505071326313</v>
      </c>
      <c r="E17" s="3">
        <f t="shared" si="3"/>
        <v>275.09775428621941</v>
      </c>
      <c r="F17" s="29">
        <f t="shared" si="2"/>
        <v>1.9477542862194355</v>
      </c>
      <c r="I17" s="17">
        <v>30</v>
      </c>
      <c r="J17" s="2">
        <v>74.449148528969602</v>
      </c>
      <c r="K17" s="2">
        <v>5.3607100966594183</v>
      </c>
      <c r="L17" s="4">
        <v>3.7305623485440345</v>
      </c>
      <c r="M17" s="18">
        <v>0.69590824373598803</v>
      </c>
      <c r="W17" s="17"/>
      <c r="X17" s="27"/>
      <c r="Y17" s="27"/>
      <c r="Z17" s="3"/>
      <c r="AA17" s="29"/>
      <c r="AD17" s="17">
        <v>30</v>
      </c>
      <c r="AE17" s="2">
        <v>61.348210515042524</v>
      </c>
      <c r="AF17" s="2">
        <v>4.9418682685199853</v>
      </c>
      <c r="AG17" s="4">
        <v>4.0237179060647694</v>
      </c>
      <c r="AH17" s="18">
        <v>0.81420986708531018</v>
      </c>
    </row>
    <row r="18" spans="2:34" x14ac:dyDescent="0.25">
      <c r="B18" s="17">
        <v>30</v>
      </c>
      <c r="C18" s="27">
        <f t="shared" si="0"/>
        <v>3.5853658536585363E-2</v>
      </c>
      <c r="D18" s="27">
        <f t="shared" si="1"/>
        <v>0.32558330613245989</v>
      </c>
      <c r="E18" s="3">
        <f t="shared" si="3"/>
        <v>275.48953626881791</v>
      </c>
      <c r="F18" s="29">
        <f t="shared" si="2"/>
        <v>2.3395362688179375</v>
      </c>
      <c r="I18" s="17">
        <v>35</v>
      </c>
      <c r="J18" s="2">
        <v>82.677359139302666</v>
      </c>
      <c r="K18" s="2">
        <v>5.8866044667526314</v>
      </c>
      <c r="L18" s="4">
        <v>4.0233305303927995</v>
      </c>
      <c r="M18" s="18">
        <v>0.68347220424209776</v>
      </c>
      <c r="W18" s="17"/>
      <c r="X18" s="27"/>
      <c r="Y18" s="27"/>
      <c r="Z18" s="3"/>
      <c r="AA18" s="29"/>
      <c r="AD18" s="17">
        <v>35</v>
      </c>
      <c r="AE18" s="2">
        <v>68.54621135379432</v>
      </c>
      <c r="AF18" s="2">
        <v>5.3811689021417868</v>
      </c>
      <c r="AG18" s="4">
        <v>4.339545093028776</v>
      </c>
      <c r="AH18" s="18">
        <v>0.8064316827709257</v>
      </c>
    </row>
    <row r="19" spans="2:34" x14ac:dyDescent="0.25">
      <c r="B19" s="17">
        <v>29</v>
      </c>
      <c r="C19" s="27">
        <f t="shared" si="0"/>
        <v>3.465853658536585E-2</v>
      </c>
      <c r="D19" s="27">
        <f t="shared" si="1"/>
        <v>0.35348438059762616</v>
      </c>
      <c r="E19" s="3">
        <f t="shared" si="3"/>
        <v>275.91779045780044</v>
      </c>
      <c r="F19" s="29">
        <f t="shared" si="2"/>
        <v>2.7677904578004586</v>
      </c>
      <c r="I19" s="17">
        <v>40</v>
      </c>
      <c r="J19" s="2">
        <v>91.095886551979163</v>
      </c>
      <c r="K19" s="2">
        <v>6.4637735043353368</v>
      </c>
      <c r="L19" s="4">
        <v>4.3363421281686438</v>
      </c>
      <c r="M19" s="18">
        <v>0.67086851438408279</v>
      </c>
      <c r="W19" s="17"/>
      <c r="X19" s="27"/>
      <c r="Y19" s="27"/>
      <c r="Z19" s="3"/>
      <c r="AA19" s="29"/>
      <c r="AD19" s="17">
        <v>40</v>
      </c>
      <c r="AE19" s="2">
        <v>75.863510842225253</v>
      </c>
      <c r="AF19" s="2">
        <v>5.8571308714086916</v>
      </c>
      <c r="AG19" s="4">
        <v>4.6771170360834757</v>
      </c>
      <c r="AH19" s="18">
        <v>0.79853381096785836</v>
      </c>
    </row>
    <row r="20" spans="2:34" x14ac:dyDescent="0.25">
      <c r="B20" s="17">
        <v>28</v>
      </c>
      <c r="C20" s="27">
        <f t="shared" si="0"/>
        <v>3.3463414634146343E-2</v>
      </c>
      <c r="D20" s="27">
        <f t="shared" si="1"/>
        <v>0.38157399725060903</v>
      </c>
      <c r="E20" s="3">
        <f t="shared" si="3"/>
        <v>276.3827441697369</v>
      </c>
      <c r="F20" s="29">
        <f t="shared" si="2"/>
        <v>3.2327441697369181</v>
      </c>
      <c r="I20" s="17">
        <v>45</v>
      </c>
      <c r="J20" s="2">
        <v>99.714445282991221</v>
      </c>
      <c r="K20" s="2">
        <v>7.0975980046087583</v>
      </c>
      <c r="L20" s="4">
        <v>4.6709903605696983</v>
      </c>
      <c r="M20" s="18">
        <v>0.65810861048155089</v>
      </c>
      <c r="W20" s="17"/>
      <c r="X20" s="27"/>
      <c r="Y20" s="27"/>
      <c r="Z20" s="3"/>
      <c r="AA20" s="29"/>
      <c r="AD20" s="17">
        <v>45</v>
      </c>
      <c r="AE20" s="2">
        <v>83.305047933050957</v>
      </c>
      <c r="AF20" s="2">
        <v>6.3728698273089774</v>
      </c>
      <c r="AG20" s="4">
        <v>5.0378991519797651</v>
      </c>
      <c r="AH20" s="18">
        <v>0.79052283955203273</v>
      </c>
    </row>
    <row r="21" spans="2:34" x14ac:dyDescent="0.25">
      <c r="B21" s="17">
        <v>27</v>
      </c>
      <c r="C21" s="27">
        <f t="shared" si="0"/>
        <v>3.226829268292683E-2</v>
      </c>
      <c r="D21" s="27">
        <f t="shared" si="1"/>
        <v>0.40986820934980522</v>
      </c>
      <c r="E21" s="3">
        <f t="shared" si="3"/>
        <v>276.88464540254427</v>
      </c>
      <c r="F21" s="29">
        <f t="shared" si="2"/>
        <v>3.7346454025442881</v>
      </c>
      <c r="I21" s="17">
        <v>50</v>
      </c>
      <c r="J21" s="2">
        <v>108.54329197999266</v>
      </c>
      <c r="K21" s="2">
        <v>7.7940935964465492</v>
      </c>
      <c r="L21" s="4">
        <v>5.0287822765006363</v>
      </c>
      <c r="M21" s="18">
        <v>0.64520424527533748</v>
      </c>
      <c r="W21" s="17"/>
      <c r="X21" s="27"/>
      <c r="Y21" s="27"/>
      <c r="Z21" s="3"/>
      <c r="AA21" s="29"/>
      <c r="AD21" s="17">
        <v>50</v>
      </c>
      <c r="AE21" s="2">
        <v>90.875937038652921</v>
      </c>
      <c r="AF21" s="2">
        <v>6.9317881974886424</v>
      </c>
      <c r="AG21" s="4">
        <v>5.4234699971069009</v>
      </c>
      <c r="AH21" s="18">
        <v>0.78240561347096571</v>
      </c>
    </row>
    <row r="22" spans="2:34" x14ac:dyDescent="0.25">
      <c r="B22" s="17">
        <v>26</v>
      </c>
      <c r="C22" s="27">
        <f t="shared" si="0"/>
        <v>3.1073170731707317E-2</v>
      </c>
      <c r="D22" s="27">
        <f t="shared" si="1"/>
        <v>0.43838343080580083</v>
      </c>
      <c r="E22" s="3">
        <f t="shared" si="3"/>
        <v>277.42376326970361</v>
      </c>
      <c r="F22" s="29">
        <f t="shared" si="2"/>
        <v>4.2737632697036361</v>
      </c>
      <c r="I22" s="17">
        <v>55</v>
      </c>
      <c r="J22" s="2">
        <v>117.59326710694319</v>
      </c>
      <c r="K22" s="2">
        <v>8.5599951852045599</v>
      </c>
      <c r="L22" s="4">
        <v>5.4113503666572873</v>
      </c>
      <c r="M22" s="18">
        <v>0.63216745448764777</v>
      </c>
      <c r="W22" s="17"/>
      <c r="X22" s="27"/>
      <c r="Y22" s="27"/>
      <c r="Z22" s="3"/>
      <c r="AA22" s="29"/>
      <c r="AD22" s="17">
        <v>55</v>
      </c>
      <c r="AE22" s="2">
        <v>98.581475748719811</v>
      </c>
      <c r="AF22" s="2">
        <v>7.5376039393706966</v>
      </c>
      <c r="AG22" s="4">
        <v>5.8355317105083442</v>
      </c>
      <c r="AH22" s="18">
        <v>0.7741892194717177</v>
      </c>
    </row>
    <row r="23" spans="2:34" x14ac:dyDescent="0.25">
      <c r="B23" s="17">
        <v>25</v>
      </c>
      <c r="C23" s="27">
        <f t="shared" si="0"/>
        <v>2.9878048780487804E-2</v>
      </c>
      <c r="D23" s="27">
        <f t="shared" si="1"/>
        <v>0.46713646794727004</v>
      </c>
      <c r="E23" s="3">
        <f t="shared" si="3"/>
        <v>278.00038847464191</v>
      </c>
      <c r="F23" s="29">
        <f t="shared" si="2"/>
        <v>4.8503884746419317</v>
      </c>
      <c r="I23" s="17">
        <v>60</v>
      </c>
      <c r="J23" s="2">
        <v>126.87584069379102</v>
      </c>
      <c r="K23" s="2">
        <v>9.4028540089745114</v>
      </c>
      <c r="L23" s="4">
        <v>5.8204655710076381</v>
      </c>
      <c r="M23" s="18">
        <v>0.61901052227890818</v>
      </c>
      <c r="W23" s="17"/>
      <c r="X23" s="27"/>
      <c r="Y23" s="27"/>
      <c r="Z23" s="3"/>
      <c r="AA23" s="29"/>
      <c r="AD23" s="17">
        <v>60</v>
      </c>
      <c r="AE23" s="2">
        <v>106.42715298068867</v>
      </c>
      <c r="AF23" s="2">
        <v>8.1943823999638301</v>
      </c>
      <c r="AG23" s="4">
        <v>6.275921540612762</v>
      </c>
      <c r="AH23" s="18">
        <v>0.76588096994844468</v>
      </c>
    </row>
    <row r="24" spans="2:34" x14ac:dyDescent="0.25">
      <c r="B24" s="17">
        <v>24</v>
      </c>
      <c r="C24" s="27">
        <f t="shared" si="0"/>
        <v>2.868292682926829E-2</v>
      </c>
      <c r="D24" s="27">
        <f t="shared" si="1"/>
        <v>0.49614455263803348</v>
      </c>
      <c r="E24" s="3">
        <f t="shared" si="3"/>
        <v>278.61483382689693</v>
      </c>
      <c r="F24" s="29">
        <f t="shared" si="2"/>
        <v>5.4648338268969496</v>
      </c>
      <c r="I24" s="17">
        <v>65</v>
      </c>
      <c r="J24" s="2">
        <v>136.40316261631381</v>
      </c>
      <c r="K24" s="2">
        <v>10.331149418184388</v>
      </c>
      <c r="L24" s="4">
        <v>6.2580518751797918</v>
      </c>
      <c r="M24" s="18">
        <v>0.60574594576714491</v>
      </c>
      <c r="W24" s="17"/>
      <c r="X24" s="27"/>
      <c r="Y24" s="27"/>
      <c r="Z24" s="3"/>
      <c r="AA24" s="29"/>
      <c r="AD24" s="17">
        <v>65</v>
      </c>
      <c r="AE24" s="2">
        <v>114.41865758679074</v>
      </c>
      <c r="AF24" s="2">
        <v>8.9065716434605857</v>
      </c>
      <c r="AG24" s="4">
        <v>6.7466245786954353</v>
      </c>
      <c r="AH24" s="18">
        <v>0.75748838596599244</v>
      </c>
    </row>
    <row r="25" spans="2:34" x14ac:dyDescent="0.25">
      <c r="B25" s="17">
        <v>23</v>
      </c>
      <c r="C25" s="27">
        <f t="shared" si="0"/>
        <v>2.7487804878048781E-2</v>
      </c>
      <c r="D25" s="27">
        <f t="shared" si="1"/>
        <v>0.52542537687389568</v>
      </c>
      <c r="E25" s="3">
        <f t="shared" si="3"/>
        <v>279.26743480184268</v>
      </c>
      <c r="F25" s="29">
        <f t="shared" si="2"/>
        <v>6.1174348018427054</v>
      </c>
      <c r="I25" s="17">
        <v>70</v>
      </c>
      <c r="J25" s="2">
        <v>146.18811793323516</v>
      </c>
      <c r="K25" s="2">
        <v>11.354417881582831</v>
      </c>
      <c r="L25" s="4">
        <v>6.7262027191496339</v>
      </c>
      <c r="M25" s="18">
        <v>0.59238639878313037</v>
      </c>
      <c r="W25" s="17"/>
      <c r="X25" s="27"/>
      <c r="Y25" s="27"/>
      <c r="Z25" s="3"/>
      <c r="AA25" s="29"/>
      <c r="AD25" s="17">
        <v>70</v>
      </c>
      <c r="AE25" s="2">
        <v>122.5618874428593</v>
      </c>
      <c r="AF25" s="2">
        <v>9.679041652643658</v>
      </c>
      <c r="AG25" s="4">
        <v>7.249787837208455</v>
      </c>
      <c r="AH25" s="18">
        <v>0.74901917952055763</v>
      </c>
    </row>
    <row r="26" spans="2:34" ht="15.75" thickBot="1" x14ac:dyDescent="0.3">
      <c r="B26" s="17">
        <v>22</v>
      </c>
      <c r="C26" s="27">
        <f t="shared" si="0"/>
        <v>2.6292682926829267E-2</v>
      </c>
      <c r="D26" s="27">
        <f t="shared" si="1"/>
        <v>0.5549971289964335</v>
      </c>
      <c r="E26" s="3">
        <f t="shared" si="3"/>
        <v>279.95855014592127</v>
      </c>
      <c r="F26" s="29">
        <f t="shared" si="2"/>
        <v>6.8085501459212878</v>
      </c>
      <c r="I26" s="17">
        <v>75</v>
      </c>
      <c r="J26" s="20">
        <v>156.24438787922963</v>
      </c>
      <c r="K26" s="20">
        <v>12.483402195919595</v>
      </c>
      <c r="L26" s="21">
        <v>7.2271994773861907</v>
      </c>
      <c r="M26" s="22">
        <v>0.57894469504062918</v>
      </c>
      <c r="W26" s="17"/>
      <c r="X26" s="27"/>
      <c r="Y26" s="27"/>
      <c r="Z26" s="3"/>
      <c r="AA26" s="29"/>
      <c r="AD26" s="17">
        <v>75</v>
      </c>
      <c r="AE26" s="20">
        <v>130.8629590454799</v>
      </c>
      <c r="AF26" s="20">
        <v>10.517127860978444</v>
      </c>
      <c r="AG26" s="21">
        <v>7.7877358282297946</v>
      </c>
      <c r="AH26" s="22">
        <v>0.74048123510264852</v>
      </c>
    </row>
    <row r="27" spans="2:34" x14ac:dyDescent="0.25">
      <c r="B27" s="17">
        <v>21</v>
      </c>
      <c r="C27" s="27">
        <f t="shared" si="0"/>
        <v>2.5097560975609754E-2</v>
      </c>
      <c r="D27" s="27">
        <f t="shared" si="1"/>
        <v>0.58487853167037085</v>
      </c>
      <c r="E27" s="3">
        <f t="shared" si="3"/>
        <v>280.6885625295086</v>
      </c>
      <c r="F27" s="29">
        <f t="shared" si="2"/>
        <v>7.5385625295086243</v>
      </c>
      <c r="W27" s="17"/>
      <c r="X27" s="27"/>
      <c r="Y27" s="27"/>
      <c r="Z27" s="3"/>
      <c r="AA27" s="29"/>
    </row>
    <row r="28" spans="2:34" x14ac:dyDescent="0.25">
      <c r="B28" s="17">
        <v>20</v>
      </c>
      <c r="C28" s="27">
        <f t="shared" si="0"/>
        <v>2.3902439024390244E-2</v>
      </c>
      <c r="D28" s="27">
        <f t="shared" si="1"/>
        <v>0.61508888178163279</v>
      </c>
      <c r="E28" s="3">
        <f t="shared" si="3"/>
        <v>281.45787924973342</v>
      </c>
      <c r="F28" s="29">
        <f t="shared" si="2"/>
        <v>8.3078792497334462</v>
      </c>
      <c r="W28" s="17"/>
      <c r="X28" s="27"/>
      <c r="Y28" s="27"/>
      <c r="Z28" s="3"/>
      <c r="AA28" s="29"/>
    </row>
    <row r="29" spans="2:34" x14ac:dyDescent="0.25">
      <c r="B29" s="17">
        <v>19</v>
      </c>
      <c r="C29" s="27">
        <f t="shared" si="0"/>
        <v>2.2707317073170731E-2</v>
      </c>
      <c r="D29" s="27">
        <f t="shared" si="1"/>
        <v>0.64564809242471621</v>
      </c>
      <c r="E29" s="3">
        <f t="shared" si="3"/>
        <v>282.26693298577601</v>
      </c>
      <c r="F29" s="29">
        <f t="shared" si="2"/>
        <v>9.1169329857760317</v>
      </c>
      <c r="W29" s="17"/>
      <c r="X29" s="27"/>
      <c r="Y29" s="27"/>
      <c r="Z29" s="3"/>
      <c r="AA29" s="29"/>
    </row>
    <row r="30" spans="2:34" x14ac:dyDescent="0.25">
      <c r="B30" s="17">
        <v>18</v>
      </c>
      <c r="C30" s="27">
        <f t="shared" si="0"/>
        <v>2.1512195121951218E-2</v>
      </c>
      <c r="D30" s="27">
        <f t="shared" si="1"/>
        <v>0.67657673716075384</v>
      </c>
      <c r="E30" s="3">
        <f t="shared" si="3"/>
        <v>283.11618260939451</v>
      </c>
      <c r="F30" s="29">
        <f t="shared" si="2"/>
        <v>9.9661826093945365</v>
      </c>
      <c r="W30" s="17"/>
      <c r="X30" s="27"/>
      <c r="Y30" s="27"/>
      <c r="Z30" s="3"/>
      <c r="AA30" s="29"/>
    </row>
    <row r="31" spans="2:34" x14ac:dyDescent="0.25">
      <c r="B31" s="17">
        <v>17</v>
      </c>
      <c r="C31" s="27">
        <f t="shared" si="0"/>
        <v>2.0317073170731708E-2</v>
      </c>
      <c r="D31" s="27">
        <f t="shared" si="1"/>
        <v>0.70789609674169673</v>
      </c>
      <c r="E31" s="3">
        <f t="shared" si="3"/>
        <v>284.00611405366624</v>
      </c>
      <c r="F31" s="29">
        <f t="shared" si="2"/>
        <v>10.856114053666261</v>
      </c>
      <c r="K31" s="2"/>
      <c r="W31" s="17"/>
      <c r="X31" s="27"/>
      <c r="Y31" s="27"/>
      <c r="Z31" s="3"/>
      <c r="AA31" s="29"/>
      <c r="AF31" s="2"/>
    </row>
    <row r="32" spans="2:34" x14ac:dyDescent="0.25">
      <c r="B32" s="17">
        <v>16</v>
      </c>
      <c r="C32" s="27">
        <f t="shared" si="0"/>
        <v>1.9121951219512195E-2</v>
      </c>
      <c r="D32" s="27">
        <f t="shared" si="1"/>
        <v>0.73962820851153499</v>
      </c>
      <c r="E32" s="3">
        <f t="shared" si="3"/>
        <v>284.93724124318703</v>
      </c>
      <c r="F32" s="29">
        <f t="shared" si="2"/>
        <v>11.787241243187054</v>
      </c>
      <c r="W32" s="17"/>
      <c r="X32" s="27"/>
      <c r="Y32" s="27"/>
      <c r="Z32" s="3"/>
      <c r="AA32" s="29"/>
    </row>
    <row r="33" spans="2:27" x14ac:dyDescent="0.25">
      <c r="B33" s="17">
        <v>15</v>
      </c>
      <c r="C33" s="27">
        <f t="shared" si="0"/>
        <v>1.7926829268292682E-2</v>
      </c>
      <c r="D33" s="27">
        <f t="shared" si="1"/>
        <v>0.77179591871255959</v>
      </c>
      <c r="E33" s="3">
        <f t="shared" si="3"/>
        <v>285.91010708925052</v>
      </c>
      <c r="F33" s="29">
        <f t="shared" si="2"/>
        <v>12.760107089250539</v>
      </c>
      <c r="W33" s="17"/>
      <c r="X33" s="27"/>
      <c r="Y33" s="27"/>
      <c r="Z33" s="3"/>
      <c r="AA33" s="29"/>
    </row>
    <row r="34" spans="2:27" x14ac:dyDescent="0.25">
      <c r="B34" s="17">
        <v>14</v>
      </c>
      <c r="C34" s="27">
        <f t="shared" si="0"/>
        <v>1.6731707317073172E-2</v>
      </c>
      <c r="D34" s="27">
        <f t="shared" si="1"/>
        <v>0.80442293794351438</v>
      </c>
      <c r="E34" s="3">
        <f t="shared" si="3"/>
        <v>286.92528455382791</v>
      </c>
      <c r="F34" s="29">
        <f t="shared" si="2"/>
        <v>13.77528455382793</v>
      </c>
      <c r="W34" s="17"/>
      <c r="X34" s="27"/>
      <c r="Y34" s="27"/>
      <c r="Z34" s="3"/>
      <c r="AA34" s="29"/>
    </row>
    <row r="35" spans="2:27" x14ac:dyDescent="0.25">
      <c r="B35" s="17">
        <v>13</v>
      </c>
      <c r="C35" s="27">
        <f t="shared" si="0"/>
        <v>1.5536585365853658E-2</v>
      </c>
      <c r="D35" s="27">
        <f t="shared" si="1"/>
        <v>0.83753390003727313</v>
      </c>
      <c r="E35" s="3">
        <f t="shared" si="3"/>
        <v>287.98337778649443</v>
      </c>
      <c r="F35" s="29">
        <f t="shared" si="2"/>
        <v>14.833377786494452</v>
      </c>
      <c r="W35" s="17"/>
      <c r="X35" s="27"/>
      <c r="Y35" s="27"/>
      <c r="Z35" s="3"/>
      <c r="AA35" s="29"/>
    </row>
    <row r="36" spans="2:27" x14ac:dyDescent="0.25">
      <c r="B36" s="17">
        <v>12</v>
      </c>
      <c r="C36" s="27">
        <f t="shared" si="0"/>
        <v>1.4341463414634145E-2</v>
      </c>
      <c r="D36" s="27">
        <f t="shared" si="1"/>
        <v>0.87115442464862314</v>
      </c>
      <c r="E36" s="3">
        <f t="shared" si="3"/>
        <v>289.08502333880023</v>
      </c>
      <c r="F36" s="29">
        <f t="shared" si="2"/>
        <v>15.935023338800249</v>
      </c>
      <c r="W36" s="17"/>
      <c r="X36" s="27"/>
      <c r="Y36" s="27"/>
      <c r="Z36" s="3"/>
      <c r="AA36" s="29"/>
    </row>
    <row r="37" spans="2:27" x14ac:dyDescent="0.25">
      <c r="B37" s="17">
        <v>11</v>
      </c>
      <c r="C37" s="27">
        <f t="shared" si="0"/>
        <v>1.3146341463414634E-2</v>
      </c>
      <c r="D37" s="27">
        <f t="shared" si="1"/>
        <v>0.90531118386806875</v>
      </c>
      <c r="E37" s="3">
        <f t="shared" si="3"/>
        <v>290.23089146096572</v>
      </c>
      <c r="F37" s="29">
        <f t="shared" si="2"/>
        <v>17.080891460965745</v>
      </c>
      <c r="W37" s="17"/>
      <c r="X37" s="27"/>
      <c r="Y37" s="27"/>
      <c r="Z37" s="3"/>
      <c r="AA37" s="29"/>
    </row>
    <row r="38" spans="2:27" x14ac:dyDescent="0.25">
      <c r="B38" s="17">
        <v>10</v>
      </c>
      <c r="C38" s="27">
        <f t="shared" si="0"/>
        <v>1.1951219512195122E-2</v>
      </c>
      <c r="D38" s="27">
        <f t="shared" si="1"/>
        <v>0.94003197320556064</v>
      </c>
      <c r="E38" s="3">
        <f t="shared" si="3"/>
        <v>291.42168748619713</v>
      </c>
      <c r="F38" s="29">
        <f t="shared" si="2"/>
        <v>18.271687486197152</v>
      </c>
      <c r="W38" s="17"/>
      <c r="X38" s="27"/>
      <c r="Y38" s="27"/>
      <c r="Z38" s="3"/>
      <c r="AA38" s="29"/>
    </row>
    <row r="39" spans="2:27" x14ac:dyDescent="0.25">
      <c r="B39" s="17">
        <v>9</v>
      </c>
      <c r="C39" s="27">
        <f t="shared" si="0"/>
        <v>1.0756097560975609E-2</v>
      </c>
      <c r="D39" s="27">
        <f t="shared" si="1"/>
        <v>0.97534578731900246</v>
      </c>
      <c r="E39" s="3">
        <f t="shared" si="3"/>
        <v>292.65815330836989</v>
      </c>
      <c r="F39" s="29">
        <f t="shared" si="2"/>
        <v>19.508153308369913</v>
      </c>
      <c r="W39" s="17"/>
      <c r="X39" s="27"/>
      <c r="Y39" s="27"/>
      <c r="Z39" s="3"/>
      <c r="AA39" s="29"/>
    </row>
    <row r="40" spans="2:27" x14ac:dyDescent="0.25">
      <c r="B40" s="17">
        <v>8</v>
      </c>
      <c r="C40" s="27">
        <f t="shared" si="0"/>
        <v>9.5609756097560974E-3</v>
      </c>
      <c r="D40" s="27">
        <f t="shared" si="1"/>
        <v>1.0112829008966209</v>
      </c>
      <c r="E40" s="3">
        <f t="shared" si="3"/>
        <v>293.94106895932129</v>
      </c>
      <c r="F40" s="29">
        <f t="shared" si="2"/>
        <v>20.791068959321308</v>
      </c>
      <c r="W40" s="17"/>
      <c r="X40" s="27"/>
      <c r="Y40" s="27"/>
      <c r="Z40" s="3"/>
      <c r="AA40" s="29"/>
    </row>
    <row r="41" spans="2:27" x14ac:dyDescent="0.25">
      <c r="B41" s="17">
        <v>7</v>
      </c>
      <c r="C41" s="27">
        <f t="shared" si="0"/>
        <v>8.3658536585365859E-3</v>
      </c>
      <c r="D41" s="27">
        <f t="shared" si="1"/>
        <v>1.0478749551401996</v>
      </c>
      <c r="E41" s="3">
        <f t="shared" si="3"/>
        <v>295.27125429253118</v>
      </c>
      <c r="F41" s="29">
        <f t="shared" si="2"/>
        <v>22.121254292531205</v>
      </c>
      <c r="W41" s="17"/>
      <c r="X41" s="27"/>
      <c r="Y41" s="27"/>
      <c r="Z41" s="3"/>
      <c r="AA41" s="29"/>
    </row>
    <row r="42" spans="2:27" x14ac:dyDescent="0.25">
      <c r="B42" s="17">
        <v>6</v>
      </c>
      <c r="C42" s="27">
        <f t="shared" si="0"/>
        <v>7.1707317073170726E-3</v>
      </c>
      <c r="D42" s="27">
        <f t="shared" si="1"/>
        <v>1.085155050338181</v>
      </c>
      <c r="E42" s="3">
        <f t="shared" si="3"/>
        <v>296.64957078055807</v>
      </c>
      <c r="F42" s="29">
        <f t="shared" si="2"/>
        <v>23.499570780558088</v>
      </c>
      <c r="W42" s="17"/>
      <c r="X42" s="27"/>
      <c r="Y42" s="27"/>
      <c r="Z42" s="3"/>
      <c r="AA42" s="29"/>
    </row>
    <row r="43" spans="2:27" x14ac:dyDescent="0.25">
      <c r="B43" s="17">
        <v>5</v>
      </c>
      <c r="C43" s="27">
        <f t="shared" si="0"/>
        <v>5.9756097560975611E-3</v>
      </c>
      <c r="D43" s="27">
        <f t="shared" si="1"/>
        <v>1.1231578450642425</v>
      </c>
      <c r="E43" s="3">
        <f t="shared" si="3"/>
        <v>298.07692343424054</v>
      </c>
      <c r="F43" s="29">
        <f t="shared" si="2"/>
        <v>24.926923434240564</v>
      </c>
      <c r="W43" s="17"/>
      <c r="X43" s="27"/>
      <c r="Y43" s="27"/>
      <c r="Z43" s="3"/>
      <c r="AA43" s="29"/>
    </row>
    <row r="44" spans="2:27" x14ac:dyDescent="0.25">
      <c r="B44" s="17">
        <v>4</v>
      </c>
      <c r="C44" s="27">
        <f t="shared" si="0"/>
        <v>4.7804878048780487E-3</v>
      </c>
      <c r="D44" s="27">
        <f t="shared" si="1"/>
        <v>1.1619196625886818</v>
      </c>
      <c r="E44" s="3">
        <f t="shared" si="3"/>
        <v>299.55426285237911</v>
      </c>
      <c r="F44" s="29">
        <f t="shared" si="2"/>
        <v>26.404262852379134</v>
      </c>
      <c r="W44" s="17"/>
      <c r="X44" s="27"/>
      <c r="Y44" s="27"/>
      <c r="Z44" s="3"/>
      <c r="AA44" s="29"/>
    </row>
    <row r="45" spans="2:27" x14ac:dyDescent="0.25">
      <c r="B45" s="17">
        <v>3</v>
      </c>
      <c r="C45" s="27">
        <f t="shared" si="0"/>
        <v>3.5853658536585363E-3</v>
      </c>
      <c r="D45" s="27">
        <f t="shared" si="1"/>
        <v>1.2014786051474422</v>
      </c>
      <c r="E45" s="3">
        <f t="shared" si="3"/>
        <v>301.08258741138559</v>
      </c>
      <c r="F45" s="29">
        <f t="shared" si="2"/>
        <v>27.932587411385612</v>
      </c>
      <c r="W45" s="17"/>
      <c r="X45" s="27"/>
      <c r="Y45" s="27"/>
      <c r="Z45" s="3"/>
      <c r="AA45" s="29"/>
    </row>
    <row r="46" spans="2:27" x14ac:dyDescent="0.25">
      <c r="B46" s="17">
        <v>2</v>
      </c>
      <c r="C46" s="27">
        <f t="shared" si="0"/>
        <v>2.3902439024390243E-3</v>
      </c>
      <c r="D46" s="27">
        <f t="shared" si="1"/>
        <v>1.2418746767775641</v>
      </c>
      <c r="E46" s="3">
        <f t="shared" si="3"/>
        <v>302.66294560523579</v>
      </c>
      <c r="F46" s="29">
        <f t="shared" si="2"/>
        <v>29.512945605235814</v>
      </c>
      <c r="W46" s="17"/>
      <c r="X46" s="27"/>
      <c r="Y46" s="27"/>
      <c r="Z46" s="3"/>
      <c r="AA46" s="29"/>
    </row>
    <row r="47" spans="2:27" ht="15.75" thickBot="1" x14ac:dyDescent="0.3">
      <c r="B47" s="8">
        <v>1</v>
      </c>
      <c r="C47" s="28">
        <f t="shared" si="0"/>
        <v>1.1951219512195122E-3</v>
      </c>
      <c r="D47" s="27">
        <f t="shared" si="1"/>
        <v>1.283149915499086</v>
      </c>
      <c r="E47" s="30">
        <f>D46/($O$5*$K$5*$J$5)*$P$5+E46</f>
        <v>304.29643854699287</v>
      </c>
      <c r="F47" s="31">
        <f t="shared" si="2"/>
        <v>31.146438546992897</v>
      </c>
      <c r="W47" s="8"/>
      <c r="X47" s="28"/>
      <c r="Y47" s="28"/>
      <c r="Z47" s="30"/>
      <c r="AA47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45E9-12A2-4649-85A4-1843731534E3}">
  <dimension ref="B3:U47"/>
  <sheetViews>
    <sheetView topLeftCell="D21" zoomScale="120" zoomScaleNormal="120" workbookViewId="0">
      <selection activeCell="J21" sqref="J21"/>
    </sheetView>
  </sheetViews>
  <sheetFormatPr baseColWidth="10" defaultColWidth="9.140625" defaultRowHeight="15" x14ac:dyDescent="0.25"/>
  <cols>
    <col min="3" max="3" width="12.7109375" bestFit="1" customWidth="1"/>
    <col min="4" max="4" width="12.5703125" bestFit="1" customWidth="1"/>
    <col min="5" max="5" width="14.7109375" customWidth="1"/>
    <col min="6" max="6" width="10.7109375" customWidth="1"/>
    <col min="7" max="7" width="9.42578125" customWidth="1"/>
    <col min="8" max="8" width="10.7109375" customWidth="1"/>
    <col min="10" max="10" width="10.28515625" customWidth="1"/>
    <col min="11" max="11" width="12.28515625" bestFit="1" customWidth="1"/>
    <col min="12" max="12" width="11.5703125" bestFit="1" customWidth="1"/>
    <col min="13" max="13" width="14.7109375" bestFit="1" customWidth="1"/>
    <col min="14" max="14" width="14.7109375" customWidth="1"/>
    <col min="15" max="15" width="16.28515625" bestFit="1" customWidth="1"/>
    <col min="16" max="16" width="18.85546875" bestFit="1" customWidth="1"/>
    <col min="17" max="17" width="27.7109375" bestFit="1" customWidth="1"/>
    <col min="18" max="18" width="20.42578125" bestFit="1" customWidth="1"/>
    <col min="19" max="19" width="10.5703125" bestFit="1" customWidth="1"/>
    <col min="20" max="20" width="12.5703125" bestFit="1" customWidth="1"/>
    <col min="21" max="23" width="13.7109375" bestFit="1" customWidth="1"/>
  </cols>
  <sheetData>
    <row r="3" spans="2:21" ht="15.75" thickBot="1" x14ac:dyDescent="0.3"/>
    <row r="4" spans="2:21" x14ac:dyDescent="0.25">
      <c r="K4" s="5" t="s">
        <v>5</v>
      </c>
      <c r="L4" s="6" t="s">
        <v>4</v>
      </c>
      <c r="M4" s="7" t="s">
        <v>3</v>
      </c>
      <c r="O4" s="11" t="s">
        <v>0</v>
      </c>
      <c r="P4" s="12" t="s">
        <v>19</v>
      </c>
      <c r="Q4" s="12" t="s">
        <v>23</v>
      </c>
      <c r="R4" s="12" t="s">
        <v>6</v>
      </c>
      <c r="S4" s="12" t="s">
        <v>2</v>
      </c>
      <c r="T4" s="12" t="s">
        <v>7</v>
      </c>
      <c r="U4" s="13" t="s">
        <v>18</v>
      </c>
    </row>
    <row r="5" spans="2:21" ht="15.75" thickBot="1" x14ac:dyDescent="0.3">
      <c r="K5" s="8">
        <v>9.8000000000000004E-2</v>
      </c>
      <c r="L5" s="9">
        <v>8.2600000000000007E-2</v>
      </c>
      <c r="M5" s="10">
        <v>2.2000000000000001E-3</v>
      </c>
      <c r="O5" s="8">
        <f>5.67037*10^(-8)</f>
        <v>5.67037E-8</v>
      </c>
      <c r="P5" s="9">
        <v>0.8</v>
      </c>
      <c r="Q5" s="9">
        <v>0.66</v>
      </c>
      <c r="R5" s="9">
        <v>0.35</v>
      </c>
      <c r="S5" s="9">
        <f>K5/2/B7</f>
        <v>1.225E-3</v>
      </c>
      <c r="T5" s="9">
        <v>3</v>
      </c>
      <c r="U5" s="10">
        <v>300</v>
      </c>
    </row>
    <row r="6" spans="2:21" x14ac:dyDescent="0.25">
      <c r="B6" s="23" t="s">
        <v>8</v>
      </c>
      <c r="C6" s="24" t="s">
        <v>10</v>
      </c>
      <c r="D6" s="24" t="s">
        <v>22</v>
      </c>
      <c r="E6" s="24" t="s">
        <v>20</v>
      </c>
      <c r="F6" s="24" t="s">
        <v>21</v>
      </c>
      <c r="G6" s="24" t="s">
        <v>24</v>
      </c>
      <c r="H6" s="25" t="s">
        <v>11</v>
      </c>
    </row>
    <row r="7" spans="2:21" ht="15.75" thickBot="1" x14ac:dyDescent="0.3">
      <c r="B7" s="17">
        <v>40</v>
      </c>
      <c r="C7" s="27">
        <f t="shared" ref="C7:C47" si="0">B7*$S$5</f>
        <v>4.9000000000000002E-2</v>
      </c>
      <c r="D7" s="27">
        <f>E7+F7</f>
        <v>0</v>
      </c>
      <c r="E7" s="2">
        <v>0</v>
      </c>
      <c r="F7" s="2">
        <v>0</v>
      </c>
      <c r="G7" s="1">
        <f>H7+273.15</f>
        <v>246.64999999999998</v>
      </c>
      <c r="H7" s="26">
        <f>K9</f>
        <v>-26.5</v>
      </c>
    </row>
    <row r="8" spans="2:21" x14ac:dyDescent="0.25">
      <c r="B8" s="17">
        <v>39</v>
      </c>
      <c r="C8" s="27">
        <f t="shared" si="0"/>
        <v>4.7774999999999998E-2</v>
      </c>
      <c r="D8" s="27">
        <f>E8+F8</f>
        <v>3.3006511632296259E-4</v>
      </c>
      <c r="E8" s="2">
        <f t="shared" ref="E8:E47" si="1">E7+$S$5*$L$5*$O$5*$P$5*(G8^4-$T$5^4)</f>
        <v>1.6987989773221808E-2</v>
      </c>
      <c r="F8" s="2">
        <f t="shared" ref="F8:F47" si="2">F7+$S$5*$L$5*$O$5*$Q$5*(G8^4-$U$5^4)</f>
        <v>-1.6657924656898845E-2</v>
      </c>
      <c r="G8" s="3">
        <f t="shared" ref="G8:G47" si="3">D7/($R$5*$M$5*$L$5)*$S$5+G7</f>
        <v>246.64999999999998</v>
      </c>
      <c r="H8" s="29">
        <f>G8-273.15</f>
        <v>-26.5</v>
      </c>
      <c r="K8" s="14" t="s">
        <v>14</v>
      </c>
      <c r="L8" s="15" t="s">
        <v>17</v>
      </c>
      <c r="M8" s="15" t="s">
        <v>13</v>
      </c>
      <c r="N8" s="15" t="s">
        <v>20</v>
      </c>
      <c r="O8" s="15" t="s">
        <v>21</v>
      </c>
      <c r="P8" s="15" t="s">
        <v>22</v>
      </c>
      <c r="Q8" s="16" t="s">
        <v>15</v>
      </c>
    </row>
    <row r="9" spans="2:21" x14ac:dyDescent="0.25">
      <c r="B9" s="17">
        <v>38</v>
      </c>
      <c r="C9" s="27">
        <f t="shared" si="0"/>
        <v>4.6550000000000001E-2</v>
      </c>
      <c r="D9" s="27">
        <f t="shared" ref="D9:D47" si="4">E9+F9</f>
        <v>6.6332666468096879E-4</v>
      </c>
      <c r="E9" s="2">
        <f t="shared" si="1"/>
        <v>3.3977731016051858E-2</v>
      </c>
      <c r="F9" s="2">
        <f t="shared" si="2"/>
        <v>-3.331440435137089E-2</v>
      </c>
      <c r="G9" s="3">
        <f t="shared" si="3"/>
        <v>246.65635718636983</v>
      </c>
      <c r="H9" s="29">
        <f t="shared" ref="H9:H47" si="5">G9-273.15</f>
        <v>-26.493642813630146</v>
      </c>
      <c r="K9" s="17">
        <v>-26.5</v>
      </c>
      <c r="L9" s="3">
        <f>H47</f>
        <v>-10.825959535233835</v>
      </c>
      <c r="M9" s="2">
        <f>K5*L5*P5*O5*(G47^4-T5^4)</f>
        <v>1.7388410030862491</v>
      </c>
      <c r="N9" s="3">
        <f>E47*2</f>
        <v>1.4437214779232623</v>
      </c>
      <c r="O9" s="2">
        <f>F47</f>
        <v>-0.63138553914892792</v>
      </c>
      <c r="P9" s="27">
        <f>D47</f>
        <v>9.0475199812703244E-2</v>
      </c>
      <c r="Q9" s="18">
        <f>N9/M9</f>
        <v>0.83027802735317235</v>
      </c>
    </row>
    <row r="10" spans="2:21" x14ac:dyDescent="0.25">
      <c r="B10" s="17">
        <v>37</v>
      </c>
      <c r="C10" s="27">
        <f t="shared" si="0"/>
        <v>4.5324999999999997E-2</v>
      </c>
      <c r="D10" s="27">
        <f t="shared" si="4"/>
        <v>1.0030127796306285E-3</v>
      </c>
      <c r="E10" s="2">
        <f t="shared" si="1"/>
        <v>5.0970992569343086E-2</v>
      </c>
      <c r="F10" s="2">
        <f t="shared" si="2"/>
        <v>-4.9967979789712458E-2</v>
      </c>
      <c r="G10" s="3">
        <f t="shared" si="3"/>
        <v>246.66913312367109</v>
      </c>
      <c r="H10" s="29">
        <f t="shared" si="5"/>
        <v>-26.480866876328889</v>
      </c>
      <c r="K10" s="17"/>
      <c r="L10" s="2">
        <f t="shared" ref="L10:Q10" si="6">L9</f>
        <v>-10.825959535233835</v>
      </c>
      <c r="M10" s="2">
        <f t="shared" si="6"/>
        <v>1.7388410030862491</v>
      </c>
      <c r="N10" s="4">
        <f t="shared" si="6"/>
        <v>1.4437214779232623</v>
      </c>
      <c r="O10" s="2">
        <f t="shared" si="6"/>
        <v>-0.63138553914892792</v>
      </c>
      <c r="P10" s="27">
        <f t="shared" si="6"/>
        <v>9.0475199812703244E-2</v>
      </c>
      <c r="Q10" s="19">
        <f t="shared" si="6"/>
        <v>0.83027802735317235</v>
      </c>
    </row>
    <row r="11" spans="2:21" x14ac:dyDescent="0.25">
      <c r="B11" s="17">
        <v>36</v>
      </c>
      <c r="C11" s="27">
        <f t="shared" si="0"/>
        <v>4.41E-2</v>
      </c>
      <c r="D11" s="27">
        <f t="shared" si="4"/>
        <v>1.35241534425104E-3</v>
      </c>
      <c r="E11" s="2">
        <f t="shared" si="1"/>
        <v>6.7969578204645692E-2</v>
      </c>
      <c r="F11" s="2">
        <f t="shared" si="2"/>
        <v>-6.6617162860394652E-2</v>
      </c>
      <c r="G11" s="3">
        <f t="shared" si="3"/>
        <v>246.68845155163007</v>
      </c>
      <c r="H11" s="29">
        <f t="shared" si="5"/>
        <v>-26.461548448369911</v>
      </c>
      <c r="K11" s="17">
        <v>-26.5</v>
      </c>
      <c r="L11" s="2">
        <f t="dataTable" ref="L11:Q26" dt2D="0" dtr="0" r1="K9"/>
        <v>-10.825959535233835</v>
      </c>
      <c r="M11" s="2">
        <v>1.7388410030862491</v>
      </c>
      <c r="N11" s="2">
        <v>1.4437214779232623</v>
      </c>
      <c r="O11" s="2">
        <v>-0.63138553914892792</v>
      </c>
      <c r="P11" s="4">
        <v>9.0475199812703244E-2</v>
      </c>
      <c r="Q11" s="18">
        <v>0.83027802735317235</v>
      </c>
    </row>
    <row r="12" spans="2:21" x14ac:dyDescent="0.25">
      <c r="B12" s="17">
        <v>35</v>
      </c>
      <c r="C12" s="27">
        <f t="shared" si="0"/>
        <v>4.2874999999999996E-2</v>
      </c>
      <c r="D12" s="27">
        <f t="shared" si="4"/>
        <v>1.7149227279515816E-3</v>
      </c>
      <c r="E12" s="2">
        <f t="shared" si="1"/>
        <v>8.4975344562731925E-2</v>
      </c>
      <c r="F12" s="2">
        <f t="shared" si="2"/>
        <v>-8.3260421834780343E-2</v>
      </c>
      <c r="G12" s="3">
        <f t="shared" si="3"/>
        <v>246.71449961296003</v>
      </c>
      <c r="H12" s="29">
        <f t="shared" si="5"/>
        <v>-26.435500387039951</v>
      </c>
      <c r="K12" s="17">
        <v>-26.3</v>
      </c>
      <c r="L12" s="2">
        <v>-5.6415761188250144</v>
      </c>
      <c r="M12" s="2">
        <v>1.880430781014365</v>
      </c>
      <c r="N12" s="2">
        <v>1.476726070467693</v>
      </c>
      <c r="O12" s="2">
        <v>-0.61777114472435013</v>
      </c>
      <c r="P12" s="4">
        <v>0.12059189050949637</v>
      </c>
      <c r="Q12" s="18">
        <v>0.78531264504780085</v>
      </c>
    </row>
    <row r="13" spans="2:21" x14ac:dyDescent="0.25">
      <c r="B13" s="17">
        <v>34</v>
      </c>
      <c r="C13" s="27">
        <f t="shared" si="0"/>
        <v>4.165E-2</v>
      </c>
      <c r="D13" s="27">
        <f t="shared" si="4"/>
        <v>2.0940535742199062E-3</v>
      </c>
      <c r="E13" s="2">
        <f t="shared" si="1"/>
        <v>0.10199021966743065</v>
      </c>
      <c r="F13" s="2">
        <f t="shared" si="2"/>
        <v>-9.9896166093210739E-2</v>
      </c>
      <c r="G13" s="3">
        <f t="shared" si="3"/>
        <v>246.74752971172643</v>
      </c>
      <c r="H13" s="29">
        <f t="shared" si="5"/>
        <v>-26.402470288273548</v>
      </c>
      <c r="K13" s="17">
        <v>-26.1</v>
      </c>
      <c r="L13" s="2">
        <v>-0.34345280836288339</v>
      </c>
      <c r="M13" s="2">
        <v>2.0338862368049275</v>
      </c>
      <c r="N13" s="2">
        <v>1.5112422794257812</v>
      </c>
      <c r="O13" s="2">
        <v>-0.60353320852913872</v>
      </c>
      <c r="P13" s="4">
        <v>0.15208793118375186</v>
      </c>
      <c r="Q13" s="18">
        <v>0.7430318628832564</v>
      </c>
    </row>
    <row r="14" spans="2:21" x14ac:dyDescent="0.25">
      <c r="B14" s="17">
        <v>33</v>
      </c>
      <c r="C14" s="27">
        <f t="shared" si="0"/>
        <v>4.0424999999999996E-2</v>
      </c>
      <c r="D14" s="27">
        <f t="shared" si="4"/>
        <v>2.4934920114334236E-3</v>
      </c>
      <c r="E14" s="2">
        <f t="shared" si="1"/>
        <v>0.11901622221922262</v>
      </c>
      <c r="F14" s="2">
        <f t="shared" si="2"/>
        <v>-0.11652273020778919</v>
      </c>
      <c r="G14" s="3">
        <f t="shared" si="3"/>
        <v>246.78786202247798</v>
      </c>
      <c r="H14" s="29">
        <f t="shared" si="5"/>
        <v>-26.362137977521996</v>
      </c>
      <c r="K14" s="17">
        <v>-25.9</v>
      </c>
      <c r="L14" s="2">
        <v>5.0730158146750455</v>
      </c>
      <c r="M14" s="2">
        <v>2.2002889503019474</v>
      </c>
      <c r="N14" s="2">
        <v>1.5473676547247723</v>
      </c>
      <c r="O14" s="2">
        <v>-0.58863149121830483</v>
      </c>
      <c r="P14" s="4">
        <v>0.18505233614408134</v>
      </c>
      <c r="Q14" s="18">
        <v>0.7032565675123833</v>
      </c>
    </row>
    <row r="15" spans="2:21" x14ac:dyDescent="0.25">
      <c r="B15" s="17">
        <v>32</v>
      </c>
      <c r="C15" s="27">
        <f t="shared" si="0"/>
        <v>3.9199999999999999E-2</v>
      </c>
      <c r="D15" s="27">
        <f t="shared" si="4"/>
        <v>2.9171246803776085E-3</v>
      </c>
      <c r="E15" s="2">
        <f t="shared" si="1"/>
        <v>0.13605548188429167</v>
      </c>
      <c r="F15" s="2">
        <f t="shared" si="2"/>
        <v>-0.13313835720391407</v>
      </c>
      <c r="G15" s="3">
        <f t="shared" si="3"/>
        <v>246.83588767755182</v>
      </c>
      <c r="H15" s="29">
        <f t="shared" si="5"/>
        <v>-26.314112322448153</v>
      </c>
      <c r="K15" s="17">
        <v>-25.7</v>
      </c>
      <c r="L15" s="2">
        <v>10.612699296948051</v>
      </c>
      <c r="M15" s="2">
        <v>2.3808318821306873</v>
      </c>
      <c r="N15" s="2">
        <v>1.5852076821620229</v>
      </c>
      <c r="O15" s="2">
        <v>-0.5730224799004392</v>
      </c>
      <c r="P15" s="4">
        <v>0.21958136118057225</v>
      </c>
      <c r="Q15" s="18">
        <v>0.66582092337547438</v>
      </c>
    </row>
    <row r="16" spans="2:21" x14ac:dyDescent="0.25">
      <c r="B16" s="17">
        <v>31</v>
      </c>
      <c r="C16" s="27">
        <f t="shared" si="0"/>
        <v>3.7975000000000002E-2</v>
      </c>
      <c r="D16" s="27">
        <f t="shared" si="4"/>
        <v>3.3690799986479947E-3</v>
      </c>
      <c r="E16" s="2">
        <f t="shared" si="1"/>
        <v>0.15311026080926549</v>
      </c>
      <c r="F16" s="2">
        <f t="shared" si="2"/>
        <v>-0.14974118081061749</v>
      </c>
      <c r="G16" s="3">
        <f t="shared" si="3"/>
        <v>246.89207266754369</v>
      </c>
      <c r="H16" s="29">
        <f t="shared" si="5"/>
        <v>-26.257927332456291</v>
      </c>
      <c r="K16" s="17">
        <v>-25.5</v>
      </c>
      <c r="L16" s="2">
        <v>16.280750889540798</v>
      </c>
      <c r="M16" s="2">
        <v>2.5768324949763572</v>
      </c>
      <c r="N16" s="2">
        <v>1.6248765680232096</v>
      </c>
      <c r="O16" s="2">
        <v>-0.55665906448269953</v>
      </c>
      <c r="P16" s="4">
        <v>0.25577921952890526</v>
      </c>
      <c r="Q16" s="18">
        <v>0.63057128128854878</v>
      </c>
    </row>
    <row r="17" spans="2:17" x14ac:dyDescent="0.25">
      <c r="B17" s="17">
        <v>30</v>
      </c>
      <c r="C17" s="27">
        <f t="shared" si="0"/>
        <v>3.6749999999999998E-2</v>
      </c>
      <c r="D17" s="27">
        <f t="shared" si="4"/>
        <v>3.8537701152932535E-3</v>
      </c>
      <c r="E17" s="2">
        <f t="shared" si="1"/>
        <v>0.17018297661006115</v>
      </c>
      <c r="F17" s="2">
        <f t="shared" si="2"/>
        <v>-0.1663292064947679</v>
      </c>
      <c r="G17" s="3">
        <f t="shared" si="3"/>
        <v>246.95696249802612</v>
      </c>
      <c r="H17" s="29">
        <f t="shared" si="5"/>
        <v>-26.193037501973862</v>
      </c>
      <c r="K17" s="17">
        <v>-25.3</v>
      </c>
      <c r="L17" s="2">
        <v>22.082628911067673</v>
      </c>
      <c r="M17" s="2">
        <v>2.7897476376480341</v>
      </c>
      <c r="N17" s="2">
        <v>1.6664981156582672</v>
      </c>
      <c r="O17" s="2">
        <v>-0.5394901760832379</v>
      </c>
      <c r="P17" s="4">
        <v>0.29375888174589571</v>
      </c>
      <c r="Q17" s="18">
        <v>0.59736518571380515</v>
      </c>
    </row>
    <row r="18" spans="2:17" x14ac:dyDescent="0.25">
      <c r="B18" s="17">
        <v>29</v>
      </c>
      <c r="C18" s="27">
        <f t="shared" si="0"/>
        <v>3.5525000000000001E-2</v>
      </c>
      <c r="D18" s="27">
        <f t="shared" si="4"/>
        <v>4.3759360496969935E-3</v>
      </c>
      <c r="E18" s="2">
        <f t="shared" si="1"/>
        <v>0.187276227105519</v>
      </c>
      <c r="F18" s="2">
        <f t="shared" si="2"/>
        <v>-0.18290029105582201</v>
      </c>
      <c r="G18" s="3">
        <f t="shared" si="3"/>
        <v>247.03118765432993</v>
      </c>
      <c r="H18" s="29">
        <f t="shared" si="5"/>
        <v>-26.118812345670051</v>
      </c>
      <c r="K18" s="17">
        <v>-25.1</v>
      </c>
      <c r="L18" s="2">
        <v>28.024120092112071</v>
      </c>
      <c r="M18" s="2">
        <v>3.0211904598749766</v>
      </c>
      <c r="N18" s="2">
        <v>1.7102067065409483</v>
      </c>
      <c r="O18" s="2">
        <v>-0.52146038234413195</v>
      </c>
      <c r="P18" s="4">
        <v>0.33364297092634221</v>
      </c>
      <c r="Q18" s="18">
        <v>0.56607047097974761</v>
      </c>
    </row>
    <row r="19" spans="2:17" x14ac:dyDescent="0.25">
      <c r="B19" s="17">
        <v>28</v>
      </c>
      <c r="C19" s="27">
        <f t="shared" si="0"/>
        <v>3.4299999999999997E-2</v>
      </c>
      <c r="D19" s="27">
        <f t="shared" si="4"/>
        <v>4.9406965578095152E-3</v>
      </c>
      <c r="E19" s="2">
        <f t="shared" si="1"/>
        <v>0.20439281709342003</v>
      </c>
      <c r="F19" s="2">
        <f t="shared" si="2"/>
        <v>-0.19945212053561051</v>
      </c>
      <c r="G19" s="3">
        <f t="shared" si="3"/>
        <v>247.11546993571855</v>
      </c>
      <c r="H19" s="29">
        <f t="shared" si="5"/>
        <v>-26.034530064281427</v>
      </c>
      <c r="K19" s="17">
        <v>-24.9</v>
      </c>
      <c r="L19" s="2">
        <v>34.111365120130358</v>
      </c>
      <c r="M19" s="2">
        <v>3.272949671478131</v>
      </c>
      <c r="N19" s="2">
        <v>1.7561484002897734</v>
      </c>
      <c r="O19" s="2">
        <v>-0.50250943367274181</v>
      </c>
      <c r="P19" s="4">
        <v>0.37556476647214487</v>
      </c>
      <c r="Q19" s="18">
        <v>0.53656443775887974</v>
      </c>
    </row>
    <row r="20" spans="2:17" x14ac:dyDescent="0.25">
      <c r="B20" s="17">
        <v>27</v>
      </c>
      <c r="C20" s="27">
        <f t="shared" si="0"/>
        <v>3.3075E-2</v>
      </c>
      <c r="D20" s="27">
        <f t="shared" si="4"/>
        <v>5.5536013276947793E-3</v>
      </c>
      <c r="E20" s="2">
        <f t="shared" si="1"/>
        <v>0.22153578749873076</v>
      </c>
      <c r="F20" s="2">
        <f t="shared" si="2"/>
        <v>-0.21598218617103598</v>
      </c>
      <c r="G20" s="3">
        <f t="shared" si="3"/>
        <v>247.21062973074569</v>
      </c>
      <c r="H20" s="29">
        <f t="shared" si="5"/>
        <v>-25.939370269254283</v>
      </c>
      <c r="K20" s="17">
        <v>-24.7</v>
      </c>
      <c r="L20" s="2">
        <v>40.350886632268214</v>
      </c>
      <c r="M20" s="2">
        <v>3.5470115139371385</v>
      </c>
      <c r="N20" s="2">
        <v>1.8044821704248373</v>
      </c>
      <c r="O20" s="2">
        <v>-0.48257175349202841</v>
      </c>
      <c r="P20" s="4">
        <v>0.41966933172039023</v>
      </c>
      <c r="Q20" s="18">
        <v>0.50873310203097832</v>
      </c>
    </row>
    <row r="21" spans="2:17" x14ac:dyDescent="0.25">
      <c r="B21" s="17">
        <v>26</v>
      </c>
      <c r="C21" s="27">
        <f t="shared" si="0"/>
        <v>3.1849999999999996E-2</v>
      </c>
      <c r="D21" s="27">
        <f t="shared" si="4"/>
        <v>6.2206891765053951E-3</v>
      </c>
      <c r="E21" s="2">
        <f t="shared" si="1"/>
        <v>0.23870844726235677</v>
      </c>
      <c r="F21" s="2">
        <f t="shared" si="2"/>
        <v>-0.23248775808585137</v>
      </c>
      <c r="G21" s="3">
        <f t="shared" si="3"/>
        <v>247.31759431718049</v>
      </c>
      <c r="H21" s="29">
        <f t="shared" si="5"/>
        <v>-25.832405682819484</v>
      </c>
      <c r="K21" s="17">
        <v>-24.5</v>
      </c>
      <c r="L21" s="2">
        <v>46.749619935903183</v>
      </c>
      <c r="M21" s="2">
        <v>3.8455848772456744</v>
      </c>
      <c r="N21" s="2">
        <v>1.8553812953424311</v>
      </c>
      <c r="O21" s="2">
        <v>-0.461575864463521</v>
      </c>
      <c r="P21" s="4">
        <v>0.46611478320769456</v>
      </c>
      <c r="Q21" s="18">
        <v>0.48247050957598731</v>
      </c>
    </row>
    <row r="22" spans="2:17" x14ac:dyDescent="0.25">
      <c r="B22" s="17">
        <v>25</v>
      </c>
      <c r="C22" s="27">
        <f t="shared" si="0"/>
        <v>3.0624999999999999E-2</v>
      </c>
      <c r="D22" s="27">
        <f t="shared" si="4"/>
        <v>6.9485520043579829E-3</v>
      </c>
      <c r="E22" s="2">
        <f t="shared" si="1"/>
        <v>0.25591440838436191</v>
      </c>
      <c r="F22" s="2">
        <f t="shared" si="2"/>
        <v>-0.24896585638000393</v>
      </c>
      <c r="G22" s="3">
        <f t="shared" si="3"/>
        <v>247.43740728282967</v>
      </c>
      <c r="H22" s="29">
        <f t="shared" si="5"/>
        <v>-25.71259271717031</v>
      </c>
      <c r="K22" s="17">
        <v>-24.3</v>
      </c>
      <c r="L22" s="2">
        <v>53.314946774093698</v>
      </c>
      <c r="M22" s="2">
        <v>4.1711300725680278</v>
      </c>
      <c r="N22" s="2">
        <v>1.9090349271922129</v>
      </c>
      <c r="O22" s="2">
        <v>-0.43944374132548564</v>
      </c>
      <c r="P22" s="4">
        <v>0.51507372227062076</v>
      </c>
      <c r="Q22" s="18">
        <v>0.45767810976388057</v>
      </c>
    </row>
    <row r="23" spans="2:17" x14ac:dyDescent="0.25">
      <c r="B23" s="17">
        <v>24</v>
      </c>
      <c r="C23" s="27">
        <f t="shared" si="0"/>
        <v>2.9399999999999999E-2</v>
      </c>
      <c r="D23" s="27">
        <f t="shared" si="4"/>
        <v>7.7444053595057682E-3</v>
      </c>
      <c r="E23" s="2">
        <f t="shared" si="1"/>
        <v>0.27315762458981652</v>
      </c>
      <c r="F23" s="2">
        <f t="shared" si="2"/>
        <v>-0.26541321923031075</v>
      </c>
      <c r="G23" s="3">
        <f t="shared" si="3"/>
        <v>247.57123917813703</v>
      </c>
      <c r="H23" s="29">
        <f t="shared" si="5"/>
        <v>-25.578760821862943</v>
      </c>
      <c r="K23" s="17">
        <v>-24.1</v>
      </c>
      <c r="L23" s="2">
        <v>60.054732496027725</v>
      </c>
      <c r="M23" s="2">
        <v>4.5263918643354932</v>
      </c>
      <c r="N23" s="2">
        <v>1.9656498651386609</v>
      </c>
      <c r="O23" s="2">
        <v>-0.41609007942257575</v>
      </c>
      <c r="P23" s="4">
        <v>0.56673485314675465</v>
      </c>
      <c r="Q23" s="18">
        <v>0.4342641830519533</v>
      </c>
    </row>
    <row r="24" spans="2:17" x14ac:dyDescent="0.25">
      <c r="B24" s="17">
        <v>23</v>
      </c>
      <c r="C24" s="27">
        <f t="shared" si="0"/>
        <v>2.8174999999999999E-2</v>
      </c>
      <c r="D24" s="27">
        <f t="shared" si="4"/>
        <v>8.6161665865819304E-3</v>
      </c>
      <c r="E24" s="2">
        <f t="shared" si="1"/>
        <v>0.2904424341497524</v>
      </c>
      <c r="F24" s="2">
        <f t="shared" si="2"/>
        <v>-0.28182626756317047</v>
      </c>
      <c r="G24" s="3">
        <f t="shared" si="3"/>
        <v>247.7203995278964</v>
      </c>
      <c r="H24" s="29">
        <f t="shared" si="5"/>
        <v>-25.429600472103573</v>
      </c>
      <c r="K24" s="17">
        <v>-23.9</v>
      </c>
      <c r="L24" s="2">
        <v>66.977367042341768</v>
      </c>
      <c r="M24" s="2">
        <v>4.9144374774985824</v>
      </c>
      <c r="N24" s="2">
        <v>2.025452564006208</v>
      </c>
      <c r="O24" s="2">
        <v>-0.39142146613971263</v>
      </c>
      <c r="P24" s="4">
        <v>0.62130481586339137</v>
      </c>
      <c r="Q24" s="18">
        <v>0.4121433171710937</v>
      </c>
    </row>
    <row r="25" spans="2:17" x14ac:dyDescent="0.25">
      <c r="B25" s="17">
        <v>22</v>
      </c>
      <c r="C25" s="27">
        <f t="shared" si="0"/>
        <v>2.6949999999999998E-2</v>
      </c>
      <c r="D25" s="27">
        <f t="shared" si="4"/>
        <v>9.5725416690760068E-3</v>
      </c>
      <c r="E25" s="2">
        <f t="shared" si="1"/>
        <v>0.30777360746608168</v>
      </c>
      <c r="F25" s="2">
        <f t="shared" si="2"/>
        <v>-0.29820106579700567</v>
      </c>
      <c r="G25" s="3">
        <f t="shared" si="3"/>
        <v>247.88635034813103</v>
      </c>
      <c r="H25" s="29">
        <f t="shared" si="5"/>
        <v>-25.263649651868946</v>
      </c>
      <c r="K25" s="17">
        <v>-23.7</v>
      </c>
      <c r="L25" s="2">
        <v>74.091810212613098</v>
      </c>
      <c r="M25" s="2">
        <v>5.3387004309296797</v>
      </c>
      <c r="N25" s="2">
        <v>2.0886914146954969</v>
      </c>
      <c r="O25" s="2">
        <v>-0.365335440230381</v>
      </c>
      <c r="P25" s="4">
        <v>0.67901026711736745</v>
      </c>
      <c r="Q25" s="18">
        <v>0.39123592749177216</v>
      </c>
    </row>
    <row r="26" spans="2:17" ht="15.75" thickBot="1" x14ac:dyDescent="0.3">
      <c r="B26" s="17">
        <v>21</v>
      </c>
      <c r="C26" s="27">
        <f t="shared" si="0"/>
        <v>2.5724999999999998E-2</v>
      </c>
      <c r="D26" s="27">
        <f t="shared" si="4"/>
        <v>1.0623122042981159E-2</v>
      </c>
      <c r="E26" s="2">
        <f t="shared" si="1"/>
        <v>0.32515640012017044</v>
      </c>
      <c r="F26" s="2">
        <f t="shared" si="2"/>
        <v>-0.31453327807718928</v>
      </c>
      <c r="G26" s="3">
        <f t="shared" si="3"/>
        <v>248.07072133559399</v>
      </c>
      <c r="H26" s="29">
        <f t="shared" si="5"/>
        <v>-25.07927866440599</v>
      </c>
      <c r="K26" s="8">
        <v>-23.5</v>
      </c>
      <c r="L26" s="20">
        <v>81.407641749165805</v>
      </c>
      <c r="M26" s="20">
        <v>5.8030312117910157</v>
      </c>
      <c r="N26" s="20">
        <v>2.1556393392076685</v>
      </c>
      <c r="O26" s="20">
        <v>-0.3377194213691101</v>
      </c>
      <c r="P26" s="21">
        <v>0.74010024823472409</v>
      </c>
      <c r="Q26" s="22">
        <v>0.37146781751366176</v>
      </c>
    </row>
    <row r="27" spans="2:17" x14ac:dyDescent="0.25">
      <c r="B27" s="17">
        <v>20</v>
      </c>
      <c r="C27" s="27">
        <f t="shared" si="0"/>
        <v>2.4500000000000001E-2</v>
      </c>
      <c r="D27" s="27">
        <f t="shared" si="4"/>
        <v>1.1778492856126088E-2</v>
      </c>
      <c r="E27" s="2">
        <f t="shared" si="1"/>
        <v>0.34259661219302073</v>
      </c>
      <c r="F27" s="2">
        <f t="shared" si="2"/>
        <v>-0.33081811933689464</v>
      </c>
      <c r="G27" s="3">
        <f t="shared" si="3"/>
        <v>248.27532692193799</v>
      </c>
      <c r="H27" s="29">
        <f t="shared" si="5"/>
        <v>-24.874673078061988</v>
      </c>
    </row>
    <row r="28" spans="2:17" x14ac:dyDescent="0.25">
      <c r="B28" s="17">
        <v>19</v>
      </c>
      <c r="C28" s="27">
        <f t="shared" si="0"/>
        <v>2.3275000000000001E-2</v>
      </c>
      <c r="D28" s="27">
        <f t="shared" si="4"/>
        <v>1.3050354383781215E-2</v>
      </c>
      <c r="E28" s="2">
        <f t="shared" si="1"/>
        <v>0.36010065479436976</v>
      </c>
      <c r="F28" s="2">
        <f t="shared" si="2"/>
        <v>-0.34705030041058854</v>
      </c>
      <c r="G28" s="3">
        <f t="shared" si="3"/>
        <v>248.50218541300359</v>
      </c>
      <c r="H28" s="29">
        <f t="shared" si="5"/>
        <v>-24.64781458699639</v>
      </c>
    </row>
    <row r="29" spans="2:17" x14ac:dyDescent="0.25">
      <c r="B29" s="17">
        <v>18</v>
      </c>
      <c r="C29" s="27">
        <f t="shared" si="0"/>
        <v>2.205E-2</v>
      </c>
      <c r="D29" s="27">
        <f t="shared" si="4"/>
        <v>1.4451658594031525E-2</v>
      </c>
      <c r="E29" s="2">
        <f t="shared" si="1"/>
        <v>0.37767562489303119</v>
      </c>
      <c r="F29" s="2">
        <f t="shared" si="2"/>
        <v>-0.36322396629899967</v>
      </c>
      <c r="G29" s="3">
        <f t="shared" si="3"/>
        <v>248.75354046662034</v>
      </c>
      <c r="H29" s="29">
        <f t="shared" si="5"/>
        <v>-24.396459533379641</v>
      </c>
    </row>
    <row r="30" spans="2:17" x14ac:dyDescent="0.25">
      <c r="B30" s="17">
        <v>17</v>
      </c>
      <c r="C30" s="27">
        <f t="shared" si="0"/>
        <v>2.0825E-2</v>
      </c>
      <c r="D30" s="27">
        <f t="shared" si="4"/>
        <v>1.5996763196522601E-2</v>
      </c>
      <c r="E30" s="2">
        <f t="shared" si="1"/>
        <v>0.39532938972716702</v>
      </c>
      <c r="F30" s="2">
        <f t="shared" si="2"/>
        <v>-0.37933262653064442</v>
      </c>
      <c r="G30" s="3">
        <f t="shared" si="3"/>
        <v>249.03188520071186</v>
      </c>
      <c r="H30" s="29">
        <f t="shared" si="5"/>
        <v>-24.118114799288122</v>
      </c>
    </row>
    <row r="31" spans="2:17" x14ac:dyDescent="0.25">
      <c r="B31" s="17">
        <v>16</v>
      </c>
      <c r="C31" s="27">
        <f t="shared" si="0"/>
        <v>1.9599999999999999E-2</v>
      </c>
      <c r="D31" s="27">
        <f t="shared" si="4"/>
        <v>1.7701605918510721E-2</v>
      </c>
      <c r="E31" s="2">
        <f t="shared" si="1"/>
        <v>0.41307068229801358</v>
      </c>
      <c r="F31" s="2">
        <f t="shared" si="2"/>
        <v>-0.39536907637950286</v>
      </c>
      <c r="G31" s="3">
        <f t="shared" si="3"/>
        <v>249.33998926844149</v>
      </c>
      <c r="H31" s="29">
        <f t="shared" si="5"/>
        <v>-23.810010731558492</v>
      </c>
      <c r="M31" s="2"/>
      <c r="N31" s="32"/>
      <c r="O31" s="32"/>
    </row>
    <row r="32" spans="2:17" x14ac:dyDescent="0.25">
      <c r="B32" s="17">
        <v>15</v>
      </c>
      <c r="C32" s="27">
        <f t="shared" si="0"/>
        <v>1.8374999999999999E-2</v>
      </c>
      <c r="D32" s="27">
        <f t="shared" si="4"/>
        <v>1.9583902249015184E-2</v>
      </c>
      <c r="E32" s="2">
        <f t="shared" si="1"/>
        <v>0.43090920972284169</v>
      </c>
      <c r="F32" s="2">
        <f t="shared" si="2"/>
        <v>-0.41132530747382651</v>
      </c>
      <c r="G32" s="3">
        <f t="shared" si="3"/>
        <v>249.68092928998445</v>
      </c>
      <c r="H32" s="29">
        <f t="shared" si="5"/>
        <v>-23.469070710015529</v>
      </c>
    </row>
    <row r="33" spans="2:8" x14ac:dyDescent="0.25">
      <c r="B33" s="17">
        <v>14</v>
      </c>
      <c r="C33" s="27">
        <f t="shared" si="0"/>
        <v>1.7149999999999999E-2</v>
      </c>
      <c r="D33" s="27">
        <f t="shared" si="4"/>
        <v>2.1663370495903556E-2</v>
      </c>
      <c r="E33" s="2">
        <f t="shared" si="1"/>
        <v>0.44885577655390757</v>
      </c>
      <c r="F33" s="2">
        <f t="shared" si="2"/>
        <v>-0.42719240605800402</v>
      </c>
      <c r="G33" s="3">
        <f t="shared" si="3"/>
        <v>250.0581230929316</v>
      </c>
      <c r="H33" s="29">
        <f t="shared" si="5"/>
        <v>-23.091876907068382</v>
      </c>
    </row>
    <row r="34" spans="2:8" x14ac:dyDescent="0.25">
      <c r="B34" s="17">
        <v>13</v>
      </c>
      <c r="C34" s="27">
        <f t="shared" si="0"/>
        <v>1.5924999999999998E-2</v>
      </c>
      <c r="D34" s="27">
        <f t="shared" si="4"/>
        <v>2.3961988738076645E-2</v>
      </c>
      <c r="E34" s="2">
        <f t="shared" si="1"/>
        <v>0.46692242557417052</v>
      </c>
      <c r="F34" s="2">
        <f t="shared" si="2"/>
        <v>-0.44296043683609387</v>
      </c>
      <c r="G34" s="3">
        <f t="shared" si="3"/>
        <v>250.47536828738274</v>
      </c>
      <c r="H34" s="29">
        <f t="shared" si="5"/>
        <v>-22.674631712617241</v>
      </c>
    </row>
    <row r="35" spans="2:8" x14ac:dyDescent="0.25">
      <c r="B35" s="17">
        <v>12</v>
      </c>
      <c r="C35" s="27">
        <f t="shared" si="0"/>
        <v>1.47E-2</v>
      </c>
      <c r="D35" s="27">
        <f t="shared" si="4"/>
        <v>2.6504289158857608E-2</v>
      </c>
      <c r="E35" s="2">
        <f t="shared" si="1"/>
        <v>0.48512259907586247</v>
      </c>
      <c r="F35" s="2">
        <f t="shared" si="2"/>
        <v>-0.45861830991700486</v>
      </c>
      <c r="G35" s="3">
        <f t="shared" si="3"/>
        <v>250.93688579004214</v>
      </c>
      <c r="H35" s="29">
        <f t="shared" si="5"/>
        <v>-22.213114209957837</v>
      </c>
    </row>
    <row r="36" spans="2:8" x14ac:dyDescent="0.25">
      <c r="B36" s="17">
        <v>11</v>
      </c>
      <c r="C36" s="27">
        <f t="shared" si="0"/>
        <v>1.3474999999999999E-2</v>
      </c>
      <c r="D36" s="27">
        <f t="shared" si="4"/>
        <v>2.9317696359866474E-2</v>
      </c>
      <c r="E36" s="2">
        <f t="shared" si="1"/>
        <v>0.50347132423795327</v>
      </c>
      <c r="F36" s="2">
        <f t="shared" si="2"/>
        <v>-0.47415362787808679</v>
      </c>
      <c r="G36" s="3">
        <f t="shared" si="3"/>
        <v>251.44736901729286</v>
      </c>
      <c r="H36" s="29">
        <f t="shared" si="5"/>
        <v>-21.70263098270712</v>
      </c>
    </row>
    <row r="37" spans="2:8" x14ac:dyDescent="0.25">
      <c r="B37" s="17">
        <v>10</v>
      </c>
      <c r="C37" s="27">
        <f t="shared" si="0"/>
        <v>1.225E-2</v>
      </c>
      <c r="D37" s="27">
        <f t="shared" si="4"/>
        <v>3.2432917631935287E-2</v>
      </c>
      <c r="E37" s="2">
        <f t="shared" si="1"/>
        <v>0.52198542697322758</v>
      </c>
      <c r="F37" s="2">
        <f t="shared" si="2"/>
        <v>-0.4895525093412923</v>
      </c>
      <c r="G37" s="3">
        <f t="shared" si="3"/>
        <v>252.0120395943319</v>
      </c>
      <c r="H37" s="29">
        <f t="shared" si="5"/>
        <v>-21.137960405668082</v>
      </c>
    </row>
    <row r="38" spans="2:8" x14ac:dyDescent="0.25">
      <c r="B38" s="17">
        <v>9</v>
      </c>
      <c r="C38" s="27">
        <f t="shared" si="0"/>
        <v>1.1025E-2</v>
      </c>
      <c r="D38" s="27">
        <f t="shared" si="4"/>
        <v>3.5884394871998793E-2</v>
      </c>
      <c r="E38" s="2">
        <f t="shared" si="1"/>
        <v>0.54068377955397851</v>
      </c>
      <c r="F38" s="2">
        <f t="shared" si="2"/>
        <v>-0.50479938468197971</v>
      </c>
      <c r="G38" s="3">
        <f t="shared" si="3"/>
        <v>252.63671058107948</v>
      </c>
      <c r="H38" s="29">
        <f t="shared" si="5"/>
        <v>-20.513289418920493</v>
      </c>
    </row>
    <row r="39" spans="2:8" x14ac:dyDescent="0.25">
      <c r="B39" s="17">
        <v>8</v>
      </c>
      <c r="C39" s="27">
        <f t="shared" si="0"/>
        <v>9.7999999999999997E-3</v>
      </c>
      <c r="D39" s="27">
        <f t="shared" si="4"/>
        <v>3.9710829974785478E-2</v>
      </c>
      <c r="E39" s="2">
        <f t="shared" si="1"/>
        <v>0.55958758849786538</v>
      </c>
      <c r="F39" s="2">
        <f t="shared" si="2"/>
        <v>-0.51987675852307991</v>
      </c>
      <c r="G39" s="3">
        <f t="shared" si="3"/>
        <v>253.32785840218887</v>
      </c>
      <c r="H39" s="29">
        <f t="shared" si="5"/>
        <v>-19.822141597811111</v>
      </c>
    </row>
    <row r="40" spans="2:8" x14ac:dyDescent="0.25">
      <c r="B40" s="17">
        <v>7</v>
      </c>
      <c r="C40" s="27">
        <f t="shared" si="0"/>
        <v>8.5749999999999993E-3</v>
      </c>
      <c r="D40" s="27">
        <f t="shared" si="4"/>
        <v>4.395579821656237E-2</v>
      </c>
      <c r="E40" s="2">
        <f t="shared" si="1"/>
        <v>0.57872073066859619</v>
      </c>
      <c r="F40" s="2">
        <f t="shared" si="2"/>
        <v>-0.53476493245203383</v>
      </c>
      <c r="G40" s="3">
        <f t="shared" si="3"/>
        <v>254.09270489631032</v>
      </c>
      <c r="H40" s="29">
        <f t="shared" si="5"/>
        <v>-19.057295103689654</v>
      </c>
    </row>
    <row r="41" spans="2:8" x14ac:dyDescent="0.25">
      <c r="B41" s="17">
        <v>6</v>
      </c>
      <c r="C41" s="27">
        <f t="shared" si="0"/>
        <v>7.3499999999999998E-3</v>
      </c>
      <c r="D41" s="27">
        <f t="shared" si="4"/>
        <v>4.8668467544641048E-2</v>
      </c>
      <c r="E41" s="2">
        <f t="shared" si="1"/>
        <v>0.59811014740716362</v>
      </c>
      <c r="F41" s="2">
        <f t="shared" si="2"/>
        <v>-0.54944167986252257</v>
      </c>
      <c r="G41" s="3">
        <f t="shared" si="3"/>
        <v>254.939311179372</v>
      </c>
      <c r="H41" s="29">
        <f t="shared" si="5"/>
        <v>-18.210688820627979</v>
      </c>
    </row>
    <row r="42" spans="2:8" x14ac:dyDescent="0.25">
      <c r="B42" s="17">
        <v>5</v>
      </c>
      <c r="C42" s="27">
        <f t="shared" si="0"/>
        <v>6.1250000000000002E-3</v>
      </c>
      <c r="D42" s="27">
        <f t="shared" si="4"/>
        <v>5.3904446002469908E-2</v>
      </c>
      <c r="E42" s="2">
        <f t="shared" si="1"/>
        <v>0.61778630887436126</v>
      </c>
      <c r="F42" s="2">
        <f t="shared" si="2"/>
        <v>-0.56388186287189135</v>
      </c>
      <c r="G42" s="3">
        <f t="shared" si="3"/>
        <v>255.87668536166478</v>
      </c>
      <c r="H42" s="29">
        <f t="shared" si="5"/>
        <v>-17.273314638335194</v>
      </c>
    </row>
    <row r="43" spans="2:8" x14ac:dyDescent="0.25">
      <c r="B43" s="17">
        <v>4</v>
      </c>
      <c r="C43" s="27">
        <f t="shared" si="0"/>
        <v>4.8999999999999998E-3</v>
      </c>
      <c r="D43" s="27">
        <f t="shared" si="4"/>
        <v>5.9726785038701213E-2</v>
      </c>
      <c r="E43" s="2">
        <f t="shared" si="1"/>
        <v>0.63778376380917667</v>
      </c>
      <c r="F43" s="2">
        <f t="shared" si="2"/>
        <v>-0.57805697877047546</v>
      </c>
      <c r="G43" s="3">
        <f t="shared" si="3"/>
        <v>256.91490658667385</v>
      </c>
      <c r="H43" s="29">
        <f t="shared" si="5"/>
        <v>-16.235093413326126</v>
      </c>
    </row>
    <row r="44" spans="2:8" x14ac:dyDescent="0.25">
      <c r="B44" s="17">
        <v>3</v>
      </c>
      <c r="C44" s="27">
        <f t="shared" si="0"/>
        <v>3.6749999999999999E-3</v>
      </c>
      <c r="D44" s="27">
        <f t="shared" si="4"/>
        <v>6.620717355037109E-2</v>
      </c>
      <c r="E44" s="2">
        <f t="shared" si="1"/>
        <v>0.65814179379902693</v>
      </c>
      <c r="F44" s="2">
        <f t="shared" si="2"/>
        <v>-0.59193462024865584</v>
      </c>
      <c r="G44" s="3">
        <f t="shared" si="3"/>
        <v>258.06526839404484</v>
      </c>
      <c r="H44" s="29">
        <f t="shared" si="5"/>
        <v>-15.084731605955142</v>
      </c>
    </row>
    <row r="45" spans="2:8" x14ac:dyDescent="0.25">
      <c r="B45" s="17">
        <v>2</v>
      </c>
      <c r="C45" s="27">
        <f t="shared" si="0"/>
        <v>2.4499999999999999E-3</v>
      </c>
      <c r="D45" s="27">
        <f t="shared" si="4"/>
        <v>7.3427366711872888E-2</v>
      </c>
      <c r="E45" s="2">
        <f t="shared" si="1"/>
        <v>0.67890519619974399</v>
      </c>
      <c r="F45" s="2">
        <f t="shared" si="2"/>
        <v>-0.6054778294878711</v>
      </c>
      <c r="G45" s="3">
        <f t="shared" si="3"/>
        <v>259.34044508030007</v>
      </c>
      <c r="H45" s="29">
        <f t="shared" si="5"/>
        <v>-13.809554919699906</v>
      </c>
    </row>
    <row r="46" spans="2:8" x14ac:dyDescent="0.25">
      <c r="B46" s="17">
        <v>1</v>
      </c>
      <c r="C46" s="27">
        <f t="shared" si="0"/>
        <v>1.225E-3</v>
      </c>
      <c r="D46" s="27">
        <f t="shared" si="4"/>
        <v>8.1480905649605084E-2</v>
      </c>
      <c r="E46" s="2">
        <f t="shared" si="1"/>
        <v>0.70012522642305308</v>
      </c>
      <c r="F46" s="2">
        <f t="shared" si="2"/>
        <v>-0.618644320773448</v>
      </c>
      <c r="G46" s="3">
        <f t="shared" si="3"/>
        <v>260.75468557937313</v>
      </c>
      <c r="H46" s="29">
        <f t="shared" si="5"/>
        <v>-12.395314420626846</v>
      </c>
    </row>
    <row r="47" spans="2:8" ht="15.75" thickBot="1" x14ac:dyDescent="0.3">
      <c r="B47" s="8">
        <v>0</v>
      </c>
      <c r="C47" s="28">
        <f t="shared" si="0"/>
        <v>0</v>
      </c>
      <c r="D47" s="28">
        <f t="shared" si="4"/>
        <v>9.0475199812703244E-2</v>
      </c>
      <c r="E47" s="20">
        <f t="shared" si="1"/>
        <v>0.72186073896163117</v>
      </c>
      <c r="F47" s="20">
        <f t="shared" si="2"/>
        <v>-0.63138553914892792</v>
      </c>
      <c r="G47" s="30">
        <f t="shared" si="3"/>
        <v>262.32404046476614</v>
      </c>
      <c r="H47" s="31">
        <f t="shared" si="5"/>
        <v>-10.825959535233835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0A3C-C7BE-48EE-86D2-22792178BA7B}">
  <dimension ref="B3:U47"/>
  <sheetViews>
    <sheetView topLeftCell="C5" zoomScaleNormal="100" workbookViewId="0">
      <selection activeCell="R5" sqref="R5"/>
    </sheetView>
  </sheetViews>
  <sheetFormatPr baseColWidth="10" defaultColWidth="9.140625" defaultRowHeight="15" x14ac:dyDescent="0.25"/>
  <cols>
    <col min="3" max="3" width="12.7109375" bestFit="1" customWidth="1"/>
    <col min="4" max="4" width="12.5703125" bestFit="1" customWidth="1"/>
    <col min="5" max="5" width="14.7109375" customWidth="1"/>
    <col min="6" max="6" width="12.42578125" customWidth="1"/>
    <col min="7" max="7" width="9.42578125" customWidth="1"/>
    <col min="8" max="8" width="10.7109375" customWidth="1"/>
    <col min="10" max="10" width="10.28515625" customWidth="1"/>
    <col min="11" max="11" width="12.28515625" bestFit="1" customWidth="1"/>
    <col min="12" max="12" width="11.5703125" bestFit="1" customWidth="1"/>
    <col min="13" max="13" width="14.7109375" bestFit="1" customWidth="1"/>
    <col min="14" max="14" width="14.7109375" customWidth="1"/>
    <col min="15" max="15" width="16.28515625" bestFit="1" customWidth="1"/>
    <col min="16" max="16" width="18.85546875" bestFit="1" customWidth="1"/>
    <col min="17" max="17" width="27.7109375" bestFit="1" customWidth="1"/>
    <col min="18" max="18" width="20.42578125" bestFit="1" customWidth="1"/>
    <col min="19" max="19" width="10.5703125" bestFit="1" customWidth="1"/>
    <col min="20" max="20" width="12.5703125" bestFit="1" customWidth="1"/>
    <col min="21" max="23" width="13.7109375" bestFit="1" customWidth="1"/>
  </cols>
  <sheetData>
    <row r="3" spans="2:21" ht="15.75" thickBot="1" x14ac:dyDescent="0.3"/>
    <row r="4" spans="2:21" x14ac:dyDescent="0.25">
      <c r="K4" s="5" t="s">
        <v>5</v>
      </c>
      <c r="L4" s="6" t="s">
        <v>4</v>
      </c>
      <c r="M4" s="7" t="s">
        <v>3</v>
      </c>
      <c r="O4" s="11" t="s">
        <v>0</v>
      </c>
      <c r="P4" s="12" t="s">
        <v>19</v>
      </c>
      <c r="Q4" s="12" t="s">
        <v>23</v>
      </c>
      <c r="R4" s="12" t="s">
        <v>6</v>
      </c>
      <c r="S4" s="12" t="s">
        <v>2</v>
      </c>
      <c r="T4" s="12" t="s">
        <v>7</v>
      </c>
      <c r="U4" s="13" t="s">
        <v>18</v>
      </c>
    </row>
    <row r="5" spans="2:21" ht="15.75" thickBot="1" x14ac:dyDescent="0.3">
      <c r="K5" s="8">
        <v>9.8000000000000004E-2</v>
      </c>
      <c r="L5" s="9">
        <v>8.2600000000000007E-2</v>
      </c>
      <c r="M5" s="10">
        <v>2.2000000000000001E-3</v>
      </c>
      <c r="O5" s="8">
        <f>5.67037*10^(-8)</f>
        <v>5.67037E-8</v>
      </c>
      <c r="P5" s="9">
        <v>0.8</v>
      </c>
      <c r="Q5" s="9">
        <v>0.66</v>
      </c>
      <c r="R5" s="9">
        <v>5</v>
      </c>
      <c r="S5" s="9">
        <f>K5/2/B7</f>
        <v>1.225E-3</v>
      </c>
      <c r="T5" s="9">
        <v>3</v>
      </c>
      <c r="U5" s="10">
        <v>300</v>
      </c>
    </row>
    <row r="6" spans="2:21" x14ac:dyDescent="0.25">
      <c r="B6" s="23" t="s">
        <v>8</v>
      </c>
      <c r="C6" s="24" t="s">
        <v>10</v>
      </c>
      <c r="D6" s="24" t="s">
        <v>22</v>
      </c>
      <c r="E6" s="24" t="s">
        <v>20</v>
      </c>
      <c r="F6" s="24" t="s">
        <v>21</v>
      </c>
      <c r="G6" s="24" t="s">
        <v>24</v>
      </c>
      <c r="H6" s="25" t="s">
        <v>11</v>
      </c>
    </row>
    <row r="7" spans="2:21" ht="15.75" thickBot="1" x14ac:dyDescent="0.3">
      <c r="B7" s="17">
        <v>40</v>
      </c>
      <c r="C7" s="27">
        <f t="shared" ref="C7:C47" si="0">B7*$S$5</f>
        <v>4.9000000000000002E-2</v>
      </c>
      <c r="D7" s="27">
        <f>E7+F7</f>
        <v>0</v>
      </c>
      <c r="E7" s="2">
        <v>0</v>
      </c>
      <c r="F7" s="2">
        <v>0</v>
      </c>
      <c r="G7" s="1">
        <f>H7+273.15</f>
        <v>273.14999999999998</v>
      </c>
      <c r="H7" s="26">
        <f>K9</f>
        <v>0</v>
      </c>
    </row>
    <row r="8" spans="2:21" x14ac:dyDescent="0.25">
      <c r="B8" s="17">
        <v>39</v>
      </c>
      <c r="C8" s="27">
        <f t="shared" si="0"/>
        <v>4.7774999999999998E-2</v>
      </c>
      <c r="D8" s="27">
        <f>E8+F8</f>
        <v>1.5959108414870374E-2</v>
      </c>
      <c r="E8" s="2">
        <f t="shared" ref="E8:E47" si="1">E7+$S$5*$L$5*$O$5*$P$5*(G8^4-$T$5^4)</f>
        <v>2.5551849114891622E-2</v>
      </c>
      <c r="F8" s="2">
        <f t="shared" ref="F8:F47" si="2">F7+$S$5*$L$5*$O$5*$Q$5*(G8^4-$U$5^4)</f>
        <v>-9.5927407000212482E-3</v>
      </c>
      <c r="G8" s="3">
        <f t="shared" ref="G8:G47" si="3">D7/($R$5*$M$5*$L$5)*$S$5+G7</f>
        <v>273.14999999999998</v>
      </c>
      <c r="H8" s="29">
        <f>G8-273.15</f>
        <v>0</v>
      </c>
      <c r="K8" s="14" t="s">
        <v>14</v>
      </c>
      <c r="L8" s="15" t="s">
        <v>17</v>
      </c>
      <c r="M8" s="15" t="s">
        <v>13</v>
      </c>
      <c r="N8" s="15" t="s">
        <v>20</v>
      </c>
      <c r="O8" s="15" t="s">
        <v>21</v>
      </c>
      <c r="P8" s="15" t="s">
        <v>22</v>
      </c>
      <c r="Q8" s="16" t="s">
        <v>15</v>
      </c>
    </row>
    <row r="9" spans="2:21" x14ac:dyDescent="0.25">
      <c r="B9" s="17">
        <v>38</v>
      </c>
      <c r="C9" s="27">
        <f t="shared" si="0"/>
        <v>4.6550000000000001E-2</v>
      </c>
      <c r="D9" s="27">
        <f t="shared" ref="D9:D47" si="4">E9+F9</f>
        <v>3.1932911751971139E-2</v>
      </c>
      <c r="E9" s="2">
        <f t="shared" si="1"/>
        <v>5.1111750241964279E-2</v>
      </c>
      <c r="F9" s="2">
        <f t="shared" si="2"/>
        <v>-1.917883848999314E-2</v>
      </c>
      <c r="G9" s="3">
        <f t="shared" si="3"/>
        <v>273.17151651750845</v>
      </c>
      <c r="H9" s="29">
        <f t="shared" ref="H9:H47" si="5">G9-273.15</f>
        <v>2.1516517508473498E-2</v>
      </c>
      <c r="K9" s="17">
        <v>0</v>
      </c>
      <c r="L9" s="3">
        <f>H47</f>
        <v>18.975607708809434</v>
      </c>
      <c r="M9" s="2">
        <f>K5*L5*P5*O5*(G47^4-T5^4)</f>
        <v>2.6741515670172795</v>
      </c>
      <c r="N9" s="3">
        <f>E47*2</f>
        <v>2.2412975498190613</v>
      </c>
      <c r="O9" s="2">
        <f>F47</f>
        <v>-0.30238540949191112</v>
      </c>
      <c r="P9" s="27">
        <f>D47</f>
        <v>0.81826336541761946</v>
      </c>
      <c r="Q9" s="18">
        <f>N9/M9</f>
        <v>0.83813407492043579</v>
      </c>
    </row>
    <row r="10" spans="2:21" x14ac:dyDescent="0.25">
      <c r="B10" s="17">
        <v>37</v>
      </c>
      <c r="C10" s="27">
        <f t="shared" si="0"/>
        <v>4.5324999999999997E-2</v>
      </c>
      <c r="D10" s="27">
        <f t="shared" si="4"/>
        <v>4.7936128891273522E-2</v>
      </c>
      <c r="E10" s="2">
        <f t="shared" si="1"/>
        <v>7.6687768520928234E-2</v>
      </c>
      <c r="F10" s="2">
        <f t="shared" si="2"/>
        <v>-2.8751639629654713E-2</v>
      </c>
      <c r="G10" s="3">
        <f t="shared" si="3"/>
        <v>273.2145693646317</v>
      </c>
      <c r="H10" s="29">
        <f t="shared" si="5"/>
        <v>6.4569364631722692E-2</v>
      </c>
      <c r="K10" s="17"/>
      <c r="L10" s="2">
        <f t="shared" ref="L10:Q10" si="6">L9</f>
        <v>18.975607708809434</v>
      </c>
      <c r="M10" s="2">
        <f t="shared" si="6"/>
        <v>2.6741515670172795</v>
      </c>
      <c r="N10" s="4">
        <f t="shared" si="6"/>
        <v>2.2412975498190613</v>
      </c>
      <c r="O10" s="2">
        <f t="shared" si="6"/>
        <v>-0.30238540949191112</v>
      </c>
      <c r="P10" s="27">
        <f t="shared" si="6"/>
        <v>0.81826336541761946</v>
      </c>
      <c r="Q10" s="19">
        <f t="shared" si="6"/>
        <v>0.83813407492043579</v>
      </c>
    </row>
    <row r="11" spans="2:21" x14ac:dyDescent="0.25">
      <c r="B11" s="17">
        <v>36</v>
      </c>
      <c r="C11" s="27">
        <f t="shared" si="0"/>
        <v>4.41E-2</v>
      </c>
      <c r="D11" s="27">
        <f t="shared" si="4"/>
        <v>6.3983526706547153E-2</v>
      </c>
      <c r="E11" s="2">
        <f t="shared" si="1"/>
        <v>0.10228799538946548</v>
      </c>
      <c r="F11" s="2">
        <f t="shared" si="2"/>
        <v>-3.8304468682918327E-2</v>
      </c>
      <c r="G11" s="3">
        <f t="shared" si="3"/>
        <v>273.27919819788264</v>
      </c>
      <c r="H11" s="29">
        <f t="shared" si="5"/>
        <v>0.12919819788265841</v>
      </c>
      <c r="K11" s="17">
        <v>0</v>
      </c>
      <c r="L11" s="2">
        <f t="dataTable" ref="L11:Q26" dt2D="0" dtr="0" r1="K9"/>
        <v>18.975607708809434</v>
      </c>
      <c r="M11" s="2">
        <v>2.6741515670172795</v>
      </c>
      <c r="N11" s="2">
        <v>2.2412975498190613</v>
      </c>
      <c r="O11" s="2">
        <v>-0.30238540949191112</v>
      </c>
      <c r="P11" s="4">
        <v>0.81826336541761946</v>
      </c>
      <c r="Q11" s="18">
        <v>0.83813407492043579</v>
      </c>
    </row>
    <row r="12" spans="2:21" x14ac:dyDescent="0.25">
      <c r="B12" s="17">
        <v>35</v>
      </c>
      <c r="C12" s="27">
        <f t="shared" si="0"/>
        <v>4.2874999999999996E-2</v>
      </c>
      <c r="D12" s="27">
        <f t="shared" si="4"/>
        <v>8.0089944258483786E-2</v>
      </c>
      <c r="E12" s="2">
        <f t="shared" si="1"/>
        <v>0.12792056183973588</v>
      </c>
      <c r="F12" s="2">
        <f t="shared" si="2"/>
        <v>-4.7830617581252094E-2</v>
      </c>
      <c r="G12" s="3">
        <f t="shared" si="3"/>
        <v>273.36546258288763</v>
      </c>
      <c r="H12" s="29">
        <f t="shared" si="5"/>
        <v>0.2154625828876533</v>
      </c>
      <c r="K12" s="17">
        <v>5</v>
      </c>
      <c r="L12" s="2">
        <v>28.329575798093742</v>
      </c>
      <c r="M12" s="2">
        <v>3.0334656814247944</v>
      </c>
      <c r="N12" s="2">
        <v>2.4564618887461265</v>
      </c>
      <c r="O12" s="2">
        <v>-0.21363011968449644</v>
      </c>
      <c r="P12" s="4">
        <v>1.0146008246885667</v>
      </c>
      <c r="Q12" s="18">
        <v>0.80978726866372397</v>
      </c>
    </row>
    <row r="13" spans="2:21" x14ac:dyDescent="0.25">
      <c r="B13" s="17">
        <v>34</v>
      </c>
      <c r="C13" s="27">
        <f t="shared" si="0"/>
        <v>4.165E-2</v>
      </c>
      <c r="D13" s="27">
        <f t="shared" si="4"/>
        <v>9.6270317224504562E-2</v>
      </c>
      <c r="E13" s="2">
        <f t="shared" si="1"/>
        <v>0.15359365180457293</v>
      </c>
      <c r="F13" s="2">
        <f t="shared" si="2"/>
        <v>-5.7323334580068372E-2</v>
      </c>
      <c r="G13" s="3">
        <f t="shared" si="3"/>
        <v>273.47344209171069</v>
      </c>
      <c r="H13" s="29">
        <f t="shared" si="5"/>
        <v>0.32344209171071725</v>
      </c>
      <c r="K13" s="17">
        <v>10</v>
      </c>
      <c r="L13" s="2">
        <v>37.99644532607914</v>
      </c>
      <c r="M13" s="2">
        <v>3.44165140307949</v>
      </c>
      <c r="N13" s="2">
        <v>2.6909146543204177</v>
      </c>
      <c r="O13" s="2">
        <v>-0.11691835388510105</v>
      </c>
      <c r="P13" s="4">
        <v>1.2285389732751077</v>
      </c>
      <c r="Q13" s="18">
        <v>0.78186728961354568</v>
      </c>
    </row>
    <row r="14" spans="2:21" x14ac:dyDescent="0.25">
      <c r="B14" s="17">
        <v>33</v>
      </c>
      <c r="C14" s="27">
        <f t="shared" si="0"/>
        <v>4.0424999999999996E-2</v>
      </c>
      <c r="D14" s="27">
        <f t="shared" si="4"/>
        <v>0.11253970264618039</v>
      </c>
      <c r="E14" s="2">
        <f t="shared" si="1"/>
        <v>0.17931551571771412</v>
      </c>
      <c r="F14" s="2">
        <f t="shared" si="2"/>
        <v>-6.6775813071533727E-2</v>
      </c>
      <c r="G14" s="3">
        <f t="shared" si="3"/>
        <v>273.60323643311506</v>
      </c>
      <c r="H14" s="29">
        <f t="shared" si="5"/>
        <v>0.45323643311508022</v>
      </c>
      <c r="K14" s="17">
        <v>15</v>
      </c>
      <c r="L14" s="2">
        <v>47.997623204039428</v>
      </c>
      <c r="M14" s="2">
        <v>3.9059470677454131</v>
      </c>
      <c r="N14" s="2">
        <v>2.9465314706466472</v>
      </c>
      <c r="O14" s="2">
        <v>-1.1476417150531692E-2</v>
      </c>
      <c r="P14" s="4">
        <v>1.4617893181727919</v>
      </c>
      <c r="Q14" s="18">
        <v>0.75437055841809997</v>
      </c>
    </row>
    <row r="15" spans="2:21" x14ac:dyDescent="0.25">
      <c r="B15" s="17">
        <v>32</v>
      </c>
      <c r="C15" s="27">
        <f t="shared" si="0"/>
        <v>3.9199999999999999E-2</v>
      </c>
      <c r="D15" s="27">
        <f t="shared" si="4"/>
        <v>0.12891330407696</v>
      </c>
      <c r="E15" s="2">
        <f t="shared" si="1"/>
        <v>0.20509448429337793</v>
      </c>
      <c r="F15" s="2">
        <f t="shared" si="2"/>
        <v>-7.6181180216417926E-2</v>
      </c>
      <c r="G15" s="3">
        <f t="shared" si="3"/>
        <v>273.75496561618962</v>
      </c>
      <c r="H15" s="29">
        <f t="shared" si="5"/>
        <v>0.60496561618964506</v>
      </c>
      <c r="K15" s="17">
        <v>20</v>
      </c>
      <c r="L15" s="2">
        <v>58.356309413260135</v>
      </c>
      <c r="M15" s="2">
        <v>4.434806745995969</v>
      </c>
      <c r="N15" s="2">
        <v>3.2254160766748754</v>
      </c>
      <c r="O15" s="2">
        <v>0.10356348283611268</v>
      </c>
      <c r="P15" s="4">
        <v>1.7162715211735504</v>
      </c>
      <c r="Q15" s="18">
        <v>0.7272957450935128</v>
      </c>
    </row>
    <row r="16" spans="2:21" x14ac:dyDescent="0.25">
      <c r="B16" s="17">
        <v>31</v>
      </c>
      <c r="C16" s="27">
        <f t="shared" si="0"/>
        <v>3.7975000000000002E-2</v>
      </c>
      <c r="D16" s="27">
        <f t="shared" si="4"/>
        <v>0.14540649721513449</v>
      </c>
      <c r="E16" s="2">
        <f t="shared" si="1"/>
        <v>0.23093898257172385</v>
      </c>
      <c r="F16" s="2">
        <f t="shared" si="2"/>
        <v>-8.5532485356589374E-2</v>
      </c>
      <c r="G16" s="3">
        <f t="shared" si="3"/>
        <v>273.92877014788041</v>
      </c>
      <c r="H16" s="29">
        <f t="shared" si="5"/>
        <v>0.77877014788043653</v>
      </c>
      <c r="K16" s="17">
        <v>25</v>
      </c>
      <c r="L16" s="2">
        <v>69.097705083653011</v>
      </c>
      <c r="M16" s="2">
        <v>5.0381336525517444</v>
      </c>
      <c r="N16" s="2">
        <v>3.529935124379461</v>
      </c>
      <c r="O16" s="2">
        <v>0.2291775900142542</v>
      </c>
      <c r="P16" s="4">
        <v>1.9941451522039846</v>
      </c>
      <c r="Q16" s="18">
        <v>0.70064340643118872</v>
      </c>
    </row>
    <row r="17" spans="2:17" x14ac:dyDescent="0.25">
      <c r="B17" s="17">
        <v>30</v>
      </c>
      <c r="C17" s="27">
        <f t="shared" si="0"/>
        <v>3.6749999999999998E-2</v>
      </c>
      <c r="D17" s="27">
        <f t="shared" si="4"/>
        <v>0.16203485610968937</v>
      </c>
      <c r="E17" s="2">
        <f t="shared" si="1"/>
        <v>0.25685754427822344</v>
      </c>
      <c r="F17" s="2">
        <f t="shared" si="2"/>
        <v>-9.4822688168534064E-2</v>
      </c>
      <c r="G17" s="3">
        <f t="shared" si="3"/>
        <v>274.12481126508112</v>
      </c>
      <c r="H17" s="29">
        <f t="shared" si="5"/>
        <v>0.97481126508114357</v>
      </c>
      <c r="K17" s="17">
        <v>30</v>
      </c>
      <c r="L17" s="2">
        <v>80.249251066640227</v>
      </c>
      <c r="M17" s="2">
        <v>5.7275647177510818</v>
      </c>
      <c r="N17" s="2">
        <v>3.8627593253538657</v>
      </c>
      <c r="O17" s="2">
        <v>0.36646757291619603</v>
      </c>
      <c r="P17" s="4">
        <v>2.297847235593129</v>
      </c>
      <c r="Q17" s="18">
        <v>0.6744156575624991</v>
      </c>
    </row>
    <row r="18" spans="2:17" x14ac:dyDescent="0.25">
      <c r="B18" s="17">
        <v>29</v>
      </c>
      <c r="C18" s="27">
        <f t="shared" si="0"/>
        <v>3.5525000000000001E-2</v>
      </c>
      <c r="D18" s="27">
        <f t="shared" si="4"/>
        <v>0.17881418002992566</v>
      </c>
      <c r="E18" s="2">
        <f t="shared" si="1"/>
        <v>0.28285882654674022</v>
      </c>
      <c r="F18" s="2">
        <f t="shared" si="2"/>
        <v>-0.10404464651681457</v>
      </c>
      <c r="G18" s="3">
        <f t="shared" si="3"/>
        <v>274.34327120205489</v>
      </c>
      <c r="H18" s="29">
        <f t="shared" si="5"/>
        <v>1.1932712020549161</v>
      </c>
      <c r="K18" s="17">
        <v>35</v>
      </c>
      <c r="L18" s="2">
        <v>91.84090237503159</v>
      </c>
      <c r="M18" s="2">
        <v>6.5168190807023745</v>
      </c>
      <c r="N18" s="2">
        <v>4.2269123033890565</v>
      </c>
      <c r="O18" s="2">
        <v>0.51668067635571202</v>
      </c>
      <c r="P18" s="4">
        <v>2.6301368280502402</v>
      </c>
      <c r="Q18" s="18">
        <v>0.64861587394773668</v>
      </c>
    </row>
    <row r="19" spans="2:17" x14ac:dyDescent="0.25">
      <c r="B19" s="17">
        <v>28</v>
      </c>
      <c r="C19" s="27">
        <f t="shared" si="0"/>
        <v>3.4299999999999997E-2</v>
      </c>
      <c r="D19" s="27">
        <f t="shared" si="4"/>
        <v>0.19576052109350123</v>
      </c>
      <c r="E19" s="2">
        <f t="shared" si="1"/>
        <v>0.30895162505818263</v>
      </c>
      <c r="F19" s="2">
        <f t="shared" si="2"/>
        <v>-0.11319110396468142</v>
      </c>
      <c r="G19" s="3">
        <f t="shared" si="3"/>
        <v>274.5843534940829</v>
      </c>
      <c r="H19" s="29">
        <f t="shared" si="5"/>
        <v>1.4343534940829272</v>
      </c>
      <c r="K19" s="17">
        <v>40</v>
      </c>
      <c r="L19" s="2">
        <v>103.90544498128884</v>
      </c>
      <c r="M19" s="2">
        <v>7.4221268643256657</v>
      </c>
      <c r="N19" s="2">
        <v>4.6258288465170496</v>
      </c>
      <c r="O19" s="2">
        <v>0.68123375039600942</v>
      </c>
      <c r="P19" s="4">
        <v>2.9941481736545343</v>
      </c>
      <c r="Q19" s="18">
        <v>0.62324842071226538</v>
      </c>
    </row>
    <row r="20" spans="2:17" x14ac:dyDescent="0.25">
      <c r="B20" s="17">
        <v>27</v>
      </c>
      <c r="C20" s="27">
        <f t="shared" si="0"/>
        <v>3.3075E-2</v>
      </c>
      <c r="D20" s="27">
        <f t="shared" si="4"/>
        <v>0.21289021275188241</v>
      </c>
      <c r="E20" s="2">
        <f t="shared" si="1"/>
        <v>0.3351448896489706</v>
      </c>
      <c r="F20" s="2">
        <f t="shared" si="2"/>
        <v>-0.12225467689708819</v>
      </c>
      <c r="G20" s="3">
        <f t="shared" si="3"/>
        <v>274.8482833183615</v>
      </c>
      <c r="H20" s="29">
        <f t="shared" si="5"/>
        <v>1.6982833183615185</v>
      </c>
      <c r="K20" s="17">
        <v>45</v>
      </c>
      <c r="L20" s="2">
        <v>116.47886285476147</v>
      </c>
      <c r="M20" s="2">
        <v>8.4627593361406444</v>
      </c>
      <c r="N20" s="2">
        <v>5.0634246830095</v>
      </c>
      <c r="O20" s="2">
        <v>0.86174203294914486</v>
      </c>
      <c r="P20" s="4">
        <v>3.3934543744538948</v>
      </c>
      <c r="Q20" s="18">
        <v>0.59831840678558434</v>
      </c>
    </row>
    <row r="21" spans="2:17" x14ac:dyDescent="0.25">
      <c r="B21" s="17">
        <v>26</v>
      </c>
      <c r="C21" s="27">
        <f t="shared" si="0"/>
        <v>3.1849999999999996E-2</v>
      </c>
      <c r="D21" s="27">
        <f t="shared" si="4"/>
        <v>0.23021989923713976</v>
      </c>
      <c r="E21" s="2">
        <f t="shared" si="1"/>
        <v>0.36144774044626604</v>
      </c>
      <c r="F21" s="2">
        <f t="shared" si="2"/>
        <v>-0.13122784120912628</v>
      </c>
      <c r="G21" s="3">
        <f t="shared" si="3"/>
        <v>275.13530787330433</v>
      </c>
      <c r="H21" s="29">
        <f t="shared" si="5"/>
        <v>1.9853078733043503</v>
      </c>
      <c r="K21" s="17">
        <v>50</v>
      </c>
      <c r="L21" s="2">
        <v>129.60076485317973</v>
      </c>
      <c r="M21" s="2">
        <v>9.6616878512021849</v>
      </c>
      <c r="N21" s="2">
        <v>5.5441804624448032</v>
      </c>
      <c r="O21" s="2">
        <v>1.0600537919662076</v>
      </c>
      <c r="P21" s="4">
        <v>3.8321440231886092</v>
      </c>
      <c r="Q21" s="18">
        <v>0.57383146173108379</v>
      </c>
    </row>
    <row r="22" spans="2:17" x14ac:dyDescent="0.25">
      <c r="B22" s="17">
        <v>25</v>
      </c>
      <c r="C22" s="27">
        <f t="shared" si="0"/>
        <v>3.0624999999999999E-2</v>
      </c>
      <c r="D22" s="27">
        <f t="shared" si="4"/>
        <v>0.247766566079618</v>
      </c>
      <c r="E22" s="2">
        <f t="shared" si="1"/>
        <v>0.38786948458998388</v>
      </c>
      <c r="F22" s="2">
        <f t="shared" si="2"/>
        <v>-0.14010291851036588</v>
      </c>
      <c r="G22" s="3">
        <f t="shared" si="3"/>
        <v>275.44569679754545</v>
      </c>
      <c r="H22" s="29">
        <f t="shared" si="5"/>
        <v>2.2956967975454745</v>
      </c>
      <c r="K22" s="17">
        <v>55</v>
      </c>
      <c r="L22" s="2">
        <v>143.31488326259017</v>
      </c>
      <c r="M22" s="2">
        <v>11.046407381399957</v>
      </c>
      <c r="N22" s="2">
        <v>6.073243346743932</v>
      </c>
      <c r="O22" s="2">
        <v>1.2782922317395975</v>
      </c>
      <c r="P22" s="4">
        <v>4.3149139051115633</v>
      </c>
      <c r="Q22" s="18">
        <v>0.549793533503944</v>
      </c>
    </row>
    <row r="23" spans="2:17" x14ac:dyDescent="0.25">
      <c r="B23" s="17">
        <v>24</v>
      </c>
      <c r="C23" s="27">
        <f t="shared" si="0"/>
        <v>2.9399999999999999E-2</v>
      </c>
      <c r="D23" s="27">
        <f t="shared" si="4"/>
        <v>0.26554757181230293</v>
      </c>
      <c r="E23" s="2">
        <f t="shared" si="1"/>
        <v>0.41441963360504785</v>
      </c>
      <c r="F23" s="2">
        <f t="shared" si="2"/>
        <v>-0.14887206179274495</v>
      </c>
      <c r="G23" s="3">
        <f t="shared" si="3"/>
        <v>275.7797426300873</v>
      </c>
      <c r="H23" s="29">
        <f t="shared" si="5"/>
        <v>2.6297426300873212</v>
      </c>
      <c r="K23" s="17">
        <v>60</v>
      </c>
      <c r="L23" s="2">
        <v>157.66965853371045</v>
      </c>
      <c r="M23" s="2">
        <v>12.649971755594523</v>
      </c>
      <c r="N23" s="2">
        <v>6.6565505640499225</v>
      </c>
      <c r="O23" s="2">
        <v>1.518906458878319</v>
      </c>
      <c r="P23" s="4">
        <v>4.84718174090328</v>
      </c>
      <c r="Q23" s="18">
        <v>0.52621070565679517</v>
      </c>
    </row>
    <row r="24" spans="2:17" x14ac:dyDescent="0.25">
      <c r="B24" s="17">
        <v>23</v>
      </c>
      <c r="C24" s="27">
        <f t="shared" si="0"/>
        <v>2.8174999999999999E-2</v>
      </c>
      <c r="D24" s="27">
        <f t="shared" si="4"/>
        <v>0.28358068098475497</v>
      </c>
      <c r="E24" s="2">
        <f t="shared" si="1"/>
        <v>0.44110792149121714</v>
      </c>
      <c r="F24" s="2">
        <f t="shared" si="2"/>
        <v>-0.15752724050646214</v>
      </c>
      <c r="G24" s="3">
        <f t="shared" si="3"/>
        <v>276.13776131319327</v>
      </c>
      <c r="H24" s="29">
        <f t="shared" si="5"/>
        <v>2.987761313193289</v>
      </c>
      <c r="K24" s="17">
        <v>65</v>
      </c>
      <c r="L24" s="2">
        <v>172.71892826578579</v>
      </c>
      <c r="M24" s="2">
        <v>14.512303100078759</v>
      </c>
      <c r="N24" s="2">
        <v>7.3009805294491921</v>
      </c>
      <c r="O24" s="2">
        <v>1.784733819605518</v>
      </c>
      <c r="P24" s="4">
        <v>5.4352240843301143</v>
      </c>
      <c r="Q24" s="18">
        <v>0.50308903274005967</v>
      </c>
    </row>
    <row r="25" spans="2:17" x14ac:dyDescent="0.25">
      <c r="B25" s="17">
        <v>22</v>
      </c>
      <c r="C25" s="27">
        <f t="shared" si="0"/>
        <v>2.6949999999999998E-2</v>
      </c>
      <c r="D25" s="27">
        <f t="shared" si="4"/>
        <v>0.3018840986173465</v>
      </c>
      <c r="E25" s="2">
        <f t="shared" si="1"/>
        <v>0.46794432360212035</v>
      </c>
      <c r="F25" s="2">
        <f t="shared" si="2"/>
        <v>-0.16606022498477385</v>
      </c>
      <c r="G25" s="3">
        <f t="shared" si="3"/>
        <v>276.52009273979058</v>
      </c>
      <c r="H25" s="29">
        <f t="shared" si="5"/>
        <v>3.3700927397906071</v>
      </c>
      <c r="K25" s="17">
        <v>70</v>
      </c>
      <c r="L25" s="2">
        <v>188.5227429761141</v>
      </c>
      <c r="M25" s="2">
        <v>16.681859002631686</v>
      </c>
      <c r="N25" s="2">
        <v>8.0145388011515326</v>
      </c>
      <c r="O25" s="2">
        <v>2.0790766066827331</v>
      </c>
      <c r="P25" s="4">
        <v>6.0863460072584994</v>
      </c>
      <c r="Q25" s="18">
        <v>0.48043439282679345</v>
      </c>
    </row>
    <row r="26" spans="2:17" ht="15.75" thickBot="1" x14ac:dyDescent="0.3">
      <c r="B26" s="17">
        <v>21</v>
      </c>
      <c r="C26" s="27">
        <f t="shared" si="0"/>
        <v>2.5724999999999998E-2</v>
      </c>
      <c r="D26" s="27">
        <f t="shared" si="4"/>
        <v>0.32047650623528984</v>
      </c>
      <c r="E26" s="2">
        <f t="shared" si="1"/>
        <v>0.49493907638992868</v>
      </c>
      <c r="F26" s="2">
        <f t="shared" si="2"/>
        <v>-0.17446257015463884</v>
      </c>
      <c r="G26" s="3">
        <f t="shared" si="3"/>
        <v>276.9271013473255</v>
      </c>
      <c r="H26" s="29">
        <f t="shared" si="5"/>
        <v>3.7771013473255266</v>
      </c>
      <c r="K26" s="8">
        <v>75</v>
      </c>
      <c r="L26" s="20">
        <v>205.14833698299151</v>
      </c>
      <c r="M26" s="20">
        <v>19.217769979128139</v>
      </c>
      <c r="N26" s="20">
        <v>8.806588374601704</v>
      </c>
      <c r="O26" s="20">
        <v>2.4057970557309289</v>
      </c>
      <c r="P26" s="21">
        <v>6.8090912430317809</v>
      </c>
      <c r="Q26" s="22">
        <v>0.45825235623937033</v>
      </c>
    </row>
    <row r="27" spans="2:17" x14ac:dyDescent="0.25">
      <c r="B27" s="17">
        <v>20</v>
      </c>
      <c r="C27" s="27">
        <f t="shared" si="0"/>
        <v>2.4500000000000001E-2</v>
      </c>
      <c r="D27" s="27">
        <f t="shared" si="4"/>
        <v>0.33937709963167195</v>
      </c>
      <c r="E27" s="2">
        <f t="shared" si="1"/>
        <v>0.52210269809742949</v>
      </c>
      <c r="F27" s="2">
        <f t="shared" si="2"/>
        <v>-0.18272559846575753</v>
      </c>
      <c r="G27" s="3">
        <f t="shared" si="3"/>
        <v>277.35917676020051</v>
      </c>
      <c r="H27" s="29">
        <f t="shared" si="5"/>
        <v>4.2091767602005348</v>
      </c>
    </row>
    <row r="28" spans="2:17" x14ac:dyDescent="0.25">
      <c r="B28" s="17">
        <v>19</v>
      </c>
      <c r="C28" s="27">
        <f t="shared" si="0"/>
        <v>2.3275000000000001E-2</v>
      </c>
      <c r="D28" s="27">
        <f t="shared" si="4"/>
        <v>0.35860562851948979</v>
      </c>
      <c r="E28" s="2">
        <f t="shared" si="1"/>
        <v>0.54944601048516906</v>
      </c>
      <c r="F28" s="2">
        <f t="shared" si="2"/>
        <v>-0.19084038196567926</v>
      </c>
      <c r="G28" s="3">
        <f t="shared" si="3"/>
        <v>277.81673448312455</v>
      </c>
      <c r="H28" s="29">
        <f t="shared" si="5"/>
        <v>4.6667344831245714</v>
      </c>
    </row>
    <row r="29" spans="2:17" x14ac:dyDescent="0.25">
      <c r="B29" s="17">
        <v>18</v>
      </c>
      <c r="C29" s="27">
        <f t="shared" si="0"/>
        <v>2.205E-2</v>
      </c>
      <c r="D29" s="27">
        <f t="shared" si="4"/>
        <v>0.37818243824463049</v>
      </c>
      <c r="E29" s="2">
        <f t="shared" si="1"/>
        <v>0.57698016168788002</v>
      </c>
      <c r="F29" s="2">
        <f t="shared" si="2"/>
        <v>-0.19879772344324953</v>
      </c>
      <c r="G29" s="3">
        <f t="shared" si="3"/>
        <v>278.30021664792355</v>
      </c>
      <c r="H29" s="29">
        <f t="shared" si="5"/>
        <v>5.1502166479235711</v>
      </c>
    </row>
    <row r="30" spans="2:17" x14ac:dyDescent="0.25">
      <c r="B30" s="17">
        <v>17</v>
      </c>
      <c r="C30" s="27">
        <f t="shared" si="0"/>
        <v>2.0825E-2</v>
      </c>
      <c r="D30" s="27">
        <f t="shared" si="4"/>
        <v>0.39812851374496178</v>
      </c>
      <c r="E30" s="2">
        <f t="shared" si="1"/>
        <v>0.60471665030165433</v>
      </c>
      <c r="F30" s="2">
        <f t="shared" si="2"/>
        <v>-0.20658813655669256</v>
      </c>
      <c r="G30" s="3">
        <f t="shared" si="3"/>
        <v>278.81009281658925</v>
      </c>
      <c r="H30" s="29">
        <f t="shared" si="5"/>
        <v>5.6600928165892697</v>
      </c>
    </row>
    <row r="31" spans="2:17" x14ac:dyDescent="0.25">
      <c r="B31" s="17">
        <v>16</v>
      </c>
      <c r="C31" s="27">
        <f t="shared" si="0"/>
        <v>1.9599999999999999E-2</v>
      </c>
      <c r="D31" s="27">
        <f t="shared" si="4"/>
        <v>0.41846552595532793</v>
      </c>
      <c r="E31" s="2">
        <f t="shared" si="1"/>
        <v>0.63266735081133818</v>
      </c>
      <c r="F31" s="2">
        <f t="shared" si="2"/>
        <v>-0.21420182485601028</v>
      </c>
      <c r="G31" s="3">
        <f t="shared" si="3"/>
        <v>279.34686084359515</v>
      </c>
      <c r="H31" s="29">
        <f t="shared" si="5"/>
        <v>6.1968608435951751</v>
      </c>
      <c r="M31" s="2"/>
      <c r="N31" s="32"/>
      <c r="O31" s="32"/>
    </row>
    <row r="32" spans="2:17" x14ac:dyDescent="0.25">
      <c r="B32" s="17">
        <v>15</v>
      </c>
      <c r="C32" s="27">
        <f t="shared" si="0"/>
        <v>1.8374999999999999E-2</v>
      </c>
      <c r="D32" s="27">
        <f t="shared" si="4"/>
        <v>0.43921588087442903</v>
      </c>
      <c r="E32" s="2">
        <f t="shared" si="1"/>
        <v>0.66084454047649321</v>
      </c>
      <c r="F32" s="2">
        <f t="shared" si="2"/>
        <v>-0.22162865960206418</v>
      </c>
      <c r="G32" s="3">
        <f t="shared" si="3"/>
        <v>279.91104780077683</v>
      </c>
      <c r="H32" s="29">
        <f t="shared" si="5"/>
        <v>6.7610478007768506</v>
      </c>
    </row>
    <row r="33" spans="2:8" x14ac:dyDescent="0.25">
      <c r="B33" s="17">
        <v>14</v>
      </c>
      <c r="C33" s="27">
        <f t="shared" si="0"/>
        <v>1.7149999999999999E-2</v>
      </c>
      <c r="D33" s="27">
        <f t="shared" si="4"/>
        <v>0.46040277152745851</v>
      </c>
      <c r="E33" s="2">
        <f t="shared" si="1"/>
        <v>0.68926092780407477</v>
      </c>
      <c r="F33" s="2">
        <f t="shared" si="2"/>
        <v>-0.22885815627661626</v>
      </c>
      <c r="G33" s="3">
        <f t="shared" si="3"/>
        <v>280.50321096836564</v>
      </c>
      <c r="H33" s="29">
        <f t="shared" si="5"/>
        <v>7.3532109683656586</v>
      </c>
    </row>
    <row r="34" spans="2:8" x14ac:dyDescent="0.25">
      <c r="B34" s="17">
        <v>13</v>
      </c>
      <c r="C34" s="27">
        <f t="shared" si="0"/>
        <v>1.5924999999999998E-2</v>
      </c>
      <c r="D34" s="27">
        <f t="shared" si="4"/>
        <v>0.48205023307816863</v>
      </c>
      <c r="E34" s="2">
        <f t="shared" si="1"/>
        <v>0.71792968274682378</v>
      </c>
      <c r="F34" s="2">
        <f t="shared" si="2"/>
        <v>-0.23587944966865518</v>
      </c>
      <c r="G34" s="3">
        <f t="shared" si="3"/>
        <v>281.12393889607984</v>
      </c>
      <c r="H34" s="29">
        <f t="shared" si="5"/>
        <v>7.9739388960798578</v>
      </c>
    </row>
    <row r="35" spans="2:8" x14ac:dyDescent="0.25">
      <c r="B35" s="17">
        <v>12</v>
      </c>
      <c r="C35" s="27">
        <f t="shared" si="0"/>
        <v>1.47E-2</v>
      </c>
      <c r="D35" s="27">
        <f t="shared" si="4"/>
        <v>0.50418320136594064</v>
      </c>
      <c r="E35" s="2">
        <f t="shared" si="1"/>
        <v>0.74686446877837387</v>
      </c>
      <c r="F35" s="2">
        <f t="shared" si="2"/>
        <v>-0.24268126741243323</v>
      </c>
      <c r="G35" s="3">
        <f t="shared" si="3"/>
        <v>281.77385253851958</v>
      </c>
      <c r="H35" s="29">
        <f t="shared" si="5"/>
        <v>8.6238525385195999</v>
      </c>
    </row>
    <row r="36" spans="2:8" x14ac:dyDescent="0.25">
      <c r="B36" s="17">
        <v>11</v>
      </c>
      <c r="C36" s="27">
        <f t="shared" si="0"/>
        <v>1.3474999999999999E-2</v>
      </c>
      <c r="D36" s="27">
        <f t="shared" si="4"/>
        <v>0.5268275751676772</v>
      </c>
      <c r="E36" s="2">
        <f t="shared" si="1"/>
        <v>0.77607947700935653</v>
      </c>
      <c r="F36" s="2">
        <f t="shared" si="2"/>
        <v>-0.24925190184167936</v>
      </c>
      <c r="G36" s="3">
        <f t="shared" si="3"/>
        <v>282.45360646948291</v>
      </c>
      <c r="H36" s="29">
        <f t="shared" si="5"/>
        <v>9.3036064694829292</v>
      </c>
    </row>
    <row r="37" spans="2:8" x14ac:dyDescent="0.25">
      <c r="B37" s="17">
        <v>10</v>
      </c>
      <c r="C37" s="27">
        <f t="shared" si="0"/>
        <v>1.225E-2</v>
      </c>
      <c r="D37" s="27">
        <f t="shared" si="4"/>
        <v>0.55001028251118456</v>
      </c>
      <c r="E37" s="2">
        <f t="shared" si="1"/>
        <v>0.80558946252350128</v>
      </c>
      <c r="F37" s="2">
        <f t="shared" si="2"/>
        <v>-0.25557918001231678</v>
      </c>
      <c r="G37" s="3">
        <f t="shared" si="3"/>
        <v>283.16389018022517</v>
      </c>
      <c r="H37" s="29">
        <f t="shared" si="5"/>
        <v>10.013890180225189</v>
      </c>
    </row>
    <row r="38" spans="2:8" x14ac:dyDescent="0.25">
      <c r="B38" s="17">
        <v>9</v>
      </c>
      <c r="C38" s="27">
        <f t="shared" si="0"/>
        <v>1.1025E-2</v>
      </c>
      <c r="D38" s="27">
        <f t="shared" si="4"/>
        <v>0.5737593513964615</v>
      </c>
      <c r="E38" s="2">
        <f t="shared" si="1"/>
        <v>0.8354097831290267</v>
      </c>
      <c r="F38" s="2">
        <f t="shared" si="2"/>
        <v>-0.26165043173256519</v>
      </c>
      <c r="G38" s="3">
        <f t="shared" si="3"/>
        <v>283.90542946712389</v>
      </c>
      <c r="H38" s="29">
        <f t="shared" si="5"/>
        <v>10.755429467123918</v>
      </c>
    </row>
    <row r="39" spans="2:8" x14ac:dyDescent="0.25">
      <c r="B39" s="17">
        <v>8</v>
      </c>
      <c r="C39" s="27">
        <f t="shared" si="0"/>
        <v>9.7999999999999997E-3</v>
      </c>
      <c r="D39" s="27">
        <f t="shared" si="4"/>
        <v>0.59810398531429931</v>
      </c>
      <c r="E39" s="2">
        <f t="shared" si="1"/>
        <v>0.86555644073869498</v>
      </c>
      <c r="F39" s="2">
        <f t="shared" si="2"/>
        <v>-0.26745245542439572</v>
      </c>
      <c r="G39" s="3">
        <f t="shared" si="3"/>
        <v>284.6789879146923</v>
      </c>
      <c r="H39" s="29">
        <f t="shared" si="5"/>
        <v>11.528987914692323</v>
      </c>
    </row>
    <row r="40" spans="2:8" x14ac:dyDescent="0.25">
      <c r="B40" s="17">
        <v>7</v>
      </c>
      <c r="C40" s="27">
        <f t="shared" si="0"/>
        <v>8.5749999999999993E-3</v>
      </c>
      <c r="D40" s="27">
        <f t="shared" si="4"/>
        <v>0.62307464398820156</v>
      </c>
      <c r="E40" s="2">
        <f t="shared" si="1"/>
        <v>0.89604612561196029</v>
      </c>
      <c r="F40" s="2">
        <f t="shared" si="2"/>
        <v>-0.27297148162375873</v>
      </c>
      <c r="G40" s="3">
        <f t="shared" si="3"/>
        <v>285.48536848040879</v>
      </c>
      <c r="H40" s="29">
        <f t="shared" si="5"/>
        <v>12.335368480408818</v>
      </c>
    </row>
    <row r="41" spans="2:8" x14ac:dyDescent="0.25">
      <c r="B41" s="17">
        <v>6</v>
      </c>
      <c r="C41" s="27">
        <f t="shared" si="0"/>
        <v>7.3499999999999998E-3</v>
      </c>
      <c r="D41" s="27">
        <f t="shared" si="4"/>
        <v>0.64870312980628952</v>
      </c>
      <c r="E41" s="2">
        <f t="shared" si="1"/>
        <v>0.92689626371491629</v>
      </c>
      <c r="F41" s="2">
        <f t="shared" si="2"/>
        <v>-0.27819313390862682</v>
      </c>
      <c r="G41" s="3">
        <f t="shared" si="3"/>
        <v>286.3254151884052</v>
      </c>
      <c r="H41" s="29">
        <f t="shared" si="5"/>
        <v>13.175415188405225</v>
      </c>
    </row>
    <row r="42" spans="2:8" x14ac:dyDescent="0.25">
      <c r="B42" s="17">
        <v>5</v>
      </c>
      <c r="C42" s="27">
        <f t="shared" si="0"/>
        <v>6.1250000000000002E-3</v>
      </c>
      <c r="D42" s="27">
        <f t="shared" si="4"/>
        <v>0.67502268045504477</v>
      </c>
      <c r="E42" s="2">
        <f t="shared" si="1"/>
        <v>0.958125067478512</v>
      </c>
      <c r="F42" s="2">
        <f t="shared" si="2"/>
        <v>-0.28310238702346718</v>
      </c>
      <c r="G42" s="3">
        <f t="shared" si="3"/>
        <v>287.20001493968488</v>
      </c>
      <c r="H42" s="29">
        <f t="shared" si="5"/>
        <v>14.0500149396849</v>
      </c>
    </row>
    <row r="43" spans="2:8" x14ac:dyDescent="0.25">
      <c r="B43" s="17">
        <v>4</v>
      </c>
      <c r="C43" s="27">
        <f t="shared" si="0"/>
        <v>4.8999999999999998E-3</v>
      </c>
      <c r="D43" s="27">
        <f t="shared" si="4"/>
        <v>0.70206806831702928</v>
      </c>
      <c r="E43" s="2">
        <f t="shared" si="1"/>
        <v>0.98975159026305515</v>
      </c>
      <c r="F43" s="2">
        <f t="shared" si="2"/>
        <v>-0.28768352194602592</v>
      </c>
      <c r="G43" s="3">
        <f t="shared" si="3"/>
        <v>288.11009944723213</v>
      </c>
      <c r="H43" s="29">
        <f t="shared" si="5"/>
        <v>14.960099447232153</v>
      </c>
    </row>
    <row r="44" spans="2:8" x14ac:dyDescent="0.25">
      <c r="B44" s="17">
        <v>3</v>
      </c>
      <c r="C44" s="27">
        <f t="shared" si="0"/>
        <v>3.6749999999999999E-3</v>
      </c>
      <c r="D44" s="27">
        <f t="shared" si="4"/>
        <v>0.72987570725071826</v>
      </c>
      <c r="E44" s="2">
        <f t="shared" si="1"/>
        <v>1.0217957848677104</v>
      </c>
      <c r="F44" s="2">
        <f t="shared" si="2"/>
        <v>-0.29192007761699218</v>
      </c>
      <c r="G44" s="3">
        <f t="shared" si="3"/>
        <v>289.05664730513257</v>
      </c>
      <c r="H44" s="29">
        <f t="shared" si="5"/>
        <v>15.906647305132594</v>
      </c>
    </row>
    <row r="45" spans="2:8" x14ac:dyDescent="0.25">
      <c r="B45" s="17">
        <v>2</v>
      </c>
      <c r="C45" s="27">
        <f t="shared" si="0"/>
        <v>2.4499999999999999E-3</v>
      </c>
      <c r="D45" s="27">
        <f t="shared" si="4"/>
        <v>0.75848376743303281</v>
      </c>
      <c r="E45" s="2">
        <f t="shared" si="1"/>
        <v>1.054278566457914</v>
      </c>
      <c r="F45" s="2">
        <f t="shared" si="2"/>
        <v>-0.29579479902488115</v>
      </c>
      <c r="G45" s="3">
        <f t="shared" si="3"/>
        <v>290.04068620165702</v>
      </c>
      <c r="H45" s="29">
        <f t="shared" si="5"/>
        <v>16.890686201657047</v>
      </c>
    </row>
    <row r="46" spans="2:8" x14ac:dyDescent="0.25">
      <c r="B46" s="17">
        <v>1</v>
      </c>
      <c r="C46" s="27">
        <f t="shared" si="0"/>
        <v>1.225E-3</v>
      </c>
      <c r="D46" s="27">
        <f t="shared" si="4"/>
        <v>0.78793229901484452</v>
      </c>
      <c r="E46" s="2">
        <f t="shared" si="1"/>
        <v>1.0872218803218145</v>
      </c>
      <c r="F46" s="2">
        <f t="shared" si="2"/>
        <v>-0.29928958130696998</v>
      </c>
      <c r="G46" s="3">
        <f t="shared" si="3"/>
        <v>291.06329528717924</v>
      </c>
      <c r="H46" s="29">
        <f t="shared" si="5"/>
        <v>17.913295287179267</v>
      </c>
    </row>
    <row r="47" spans="2:8" ht="15.75" thickBot="1" x14ac:dyDescent="0.3">
      <c r="B47" s="8">
        <v>0</v>
      </c>
      <c r="C47" s="28">
        <f t="shared" si="0"/>
        <v>0</v>
      </c>
      <c r="D47" s="28">
        <f t="shared" si="4"/>
        <v>0.81826336541761946</v>
      </c>
      <c r="E47" s="20">
        <f t="shared" si="1"/>
        <v>1.1206487749095306</v>
      </c>
      <c r="F47" s="20">
        <f t="shared" si="2"/>
        <v>-0.30238540949191112</v>
      </c>
      <c r="G47" s="30">
        <f t="shared" si="3"/>
        <v>292.12560770880941</v>
      </c>
      <c r="H47" s="31">
        <f t="shared" si="5"/>
        <v>18.975607708809434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Sin radiacción interna (2)</vt:lpstr>
      <vt:lpstr>Sin radiacción interna</vt:lpstr>
      <vt:lpstr>Sin radiacción interna + Metal</vt:lpstr>
      <vt:lpstr>Comparación de nodos</vt:lpstr>
      <vt:lpstr>Con radiacción interna</vt:lpstr>
      <vt:lpstr>Con radiacción interna + Metal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Navarro</dc:creator>
  <cp:lastModifiedBy>Eduardo Navarro</cp:lastModifiedBy>
  <dcterms:created xsi:type="dcterms:W3CDTF">2015-06-05T18:19:34Z</dcterms:created>
  <dcterms:modified xsi:type="dcterms:W3CDTF">2025-08-06T20:44:11Z</dcterms:modified>
</cp:coreProperties>
</file>